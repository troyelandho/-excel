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BEN\Desktop\投资测算AGENT V5-CODEX\任务1-生成excel\工作区1\验证最终\"/>
    </mc:Choice>
  </mc:AlternateContent>
  <xr:revisionPtr revIDLastSave="0" documentId="13_ncr:1_{6EDC198B-D695-43A3-A78D-B604A4A1EE2E}" xr6:coauthVersionLast="47" xr6:coauthVersionMax="47" xr10:uidLastSave="{00000000-0000-0000-0000-000000000000}"/>
  <bookViews>
    <workbookView xWindow="-28920" yWindow="-1245" windowWidth="29040" windowHeight="15720" xr2:uid="{00000000-000D-0000-FFFF-FFFF00000000}"/>
  </bookViews>
  <sheets>
    <sheet name="使用说明" sheetId="1" r:id="rId1"/>
    <sheet name="核心参数输入" sheetId="2" r:id="rId2"/>
    <sheet name="建筑面积与开发计划" sheetId="3" r:id="rId3"/>
    <sheet name="投资与资金安排" sheetId="4" r:id="rId4"/>
    <sheet name="销售与出租收入" sheetId="5" r:id="rId5"/>
    <sheet name="运营成本与税费" sheetId="6" r:id="rId6"/>
    <sheet name="融资与还本付息" sheetId="7" r:id="rId7"/>
    <sheet name="利润与现金流" sheetId="8" r:id="rId8"/>
    <sheet name="指标与情景测算" sheetId="9" r:id="rId9"/>
    <sheet name="决策看板" sheetId="10" r:id="rId10"/>
  </sheets>
  <definedNames>
    <definedName name="ChartCFADS">决策看板!$E$121:INDEX(决策看板!$E$121:$E$151,核心参数输入!$B$9+1)</definedName>
    <definedName name="ChartCum">决策看板!$G$121:INDEX(决策看板!$G$121:$G$151,核心参数输入!$B$9+1)</definedName>
    <definedName name="ChartDebt">决策看板!$F$121:INDEX(决策看板!$F$121:$F$151,核心参数输入!$B$9+1)</definedName>
    <definedName name="ChartDiscounted">决策看板!$H$121:INDEX(决策看板!$H$121:$H$151,核心参数输入!$B$9+1)</definedName>
    <definedName name="ChartOther">决策看板!$D$121:INDEX(决策看板!$D$121:$D$151,核心参数输入!$B$9+1)</definedName>
    <definedName name="ChartRent">决策看板!$C$121:INDEX(决策看板!$C$121:$C$151,核心参数输入!$B$9+1)</definedName>
    <definedName name="ChartSales">决策看板!$B$121:INDEX(决策看板!$B$121:$B$151,核心参数输入!$B$9+1)</definedName>
    <definedName name="ChartYear">决策看板!$A$121:INDEX(决策看板!$A$121:$A$151,核心参数输入!$B$9+1)</definedName>
    <definedName name="_xlnm.Print_Area" localSheetId="1">核心参数输入!$A$1:$AH$93</definedName>
    <definedName name="_xlnm.Print_Area" localSheetId="2">建筑面积与开发计划!$A$1:$AH$111</definedName>
    <definedName name="_xlnm.Print_Area" localSheetId="9">决策看板!$A$1:$H$117</definedName>
    <definedName name="_xlnm.Print_Area" localSheetId="7">利润与现金流!$A$1:$AH$148</definedName>
    <definedName name="_xlnm.Print_Area" localSheetId="6">融资与还本付息!$A$1:$AH$101</definedName>
    <definedName name="_xlnm.Print_Area" localSheetId="0">使用说明!$A$1:$G$86</definedName>
    <definedName name="_xlnm.Print_Area" localSheetId="3">投资与资金安排!$A$1:$AH$117</definedName>
    <definedName name="_xlnm.Print_Area" localSheetId="4">销售与出租收入!$A$1:$AH$108</definedName>
    <definedName name="_xlnm.Print_Area" localSheetId="5">运营成本与税费!$A$1:$AH$107</definedName>
    <definedName name="_xlnm.Print_Area" localSheetId="8">指标与情景测算!$A$1:$G$51</definedName>
    <definedName name="_xlnm.Print_Titles" localSheetId="2">建筑面积与开发计划!$4:$5</definedName>
    <definedName name="_xlnm.Print_Titles" localSheetId="7">利润与现金流!$4:$5</definedName>
    <definedName name="_xlnm.Print_Titles" localSheetId="6">融资与还本付息!$4:$5</definedName>
    <definedName name="_xlnm.Print_Titles" localSheetId="3">投资与资金安排!$4:$5</definedName>
    <definedName name="_xlnm.Print_Titles" localSheetId="4">销售与出租收入!$4:$5</definedName>
    <definedName name="_xlnm.Print_Titles" localSheetId="5">运营成本与税费!$4:$5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51" i="10" l="1"/>
  <c r="A150" i="10"/>
  <c r="A149" i="10"/>
  <c r="A148" i="10"/>
  <c r="A147" i="10"/>
  <c r="A146" i="10"/>
  <c r="A145" i="10"/>
  <c r="A144" i="10"/>
  <c r="A143" i="10"/>
  <c r="A142" i="10"/>
  <c r="A141" i="10"/>
  <c r="A140" i="10"/>
  <c r="A139" i="10"/>
  <c r="A138" i="10"/>
  <c r="A137" i="10"/>
  <c r="A136" i="10"/>
  <c r="A135" i="10"/>
  <c r="A134" i="10"/>
  <c r="A133" i="10"/>
  <c r="A132" i="10"/>
  <c r="A131" i="10"/>
  <c r="A130" i="10"/>
  <c r="A129" i="10"/>
  <c r="A128" i="10"/>
  <c r="A127" i="10"/>
  <c r="A126" i="10"/>
  <c r="A125" i="10"/>
  <c r="A124" i="10"/>
  <c r="A123" i="10"/>
  <c r="A122" i="10"/>
  <c r="A121" i="10"/>
  <c r="D63" i="10"/>
  <c r="D60" i="10"/>
  <c r="D59" i="10"/>
  <c r="D49" i="10"/>
  <c r="D48" i="10"/>
  <c r="D47" i="10"/>
  <c r="D46" i="10"/>
  <c r="D45" i="10"/>
  <c r="D44" i="10"/>
  <c r="D43" i="10"/>
  <c r="D42" i="10"/>
  <c r="D41" i="10"/>
  <c r="D40" i="10"/>
  <c r="D39" i="10"/>
  <c r="D37" i="10"/>
  <c r="D36" i="10"/>
  <c r="D35" i="10"/>
  <c r="G13" i="10"/>
  <c r="G12" i="10"/>
  <c r="G11" i="10"/>
  <c r="B9" i="10"/>
  <c r="B8" i="10"/>
  <c r="C43" i="9"/>
  <c r="C28" i="10" s="1"/>
  <c r="C42" i="9"/>
  <c r="C27" i="10" s="1"/>
  <c r="C41" i="9"/>
  <c r="C26" i="10" s="1"/>
  <c r="C40" i="9"/>
  <c r="C25" i="10" s="1"/>
  <c r="C39" i="9"/>
  <c r="C24" i="10" s="1"/>
  <c r="C38" i="9"/>
  <c r="C23" i="10" s="1"/>
  <c r="C37" i="9"/>
  <c r="C22" i="10" s="1"/>
  <c r="C36" i="9"/>
  <c r="C21" i="10" s="1"/>
  <c r="C35" i="9"/>
  <c r="C20" i="10" s="1"/>
  <c r="C34" i="9"/>
  <c r="C19" i="10" s="1"/>
  <c r="D28" i="9"/>
  <c r="B28" i="9"/>
  <c r="D18" i="9"/>
  <c r="B18" i="9"/>
  <c r="D17" i="9"/>
  <c r="B17" i="9"/>
  <c r="AH4" i="8"/>
  <c r="AG4" i="8"/>
  <c r="AF4" i="8"/>
  <c r="AE4" i="8"/>
  <c r="AD4" i="8"/>
  <c r="AC4" i="8"/>
  <c r="AB4" i="8"/>
  <c r="AA4" i="8"/>
  <c r="Z4" i="8"/>
  <c r="Y4" i="8"/>
  <c r="X4" i="8"/>
  <c r="W4" i="8"/>
  <c r="W5" i="8" s="1"/>
  <c r="V4" i="8"/>
  <c r="V5" i="8" s="1"/>
  <c r="U4" i="8"/>
  <c r="U5" i="8" s="1"/>
  <c r="T4" i="8"/>
  <c r="T5" i="8" s="1"/>
  <c r="S4" i="8"/>
  <c r="S5" i="8" s="1"/>
  <c r="R4" i="8"/>
  <c r="R5" i="8" s="1"/>
  <c r="Q4" i="8"/>
  <c r="Q5" i="8" s="1"/>
  <c r="P4" i="8"/>
  <c r="P5" i="8" s="1"/>
  <c r="O4" i="8"/>
  <c r="N4" i="8"/>
  <c r="M4" i="8"/>
  <c r="L4" i="8"/>
  <c r="L5" i="8" s="1"/>
  <c r="K4" i="8"/>
  <c r="K5" i="8" s="1"/>
  <c r="J4" i="8"/>
  <c r="I4" i="8"/>
  <c r="I5" i="8" s="1"/>
  <c r="H4" i="8"/>
  <c r="G4" i="8"/>
  <c r="G5" i="8" s="1"/>
  <c r="F4" i="8"/>
  <c r="F5" i="8" s="1"/>
  <c r="E4" i="8"/>
  <c r="D4" i="8"/>
  <c r="D33" i="8" s="1"/>
  <c r="AH4" i="7"/>
  <c r="AG4" i="7"/>
  <c r="AF4" i="7"/>
  <c r="AE4" i="7"/>
  <c r="AD4" i="7"/>
  <c r="AC4" i="7"/>
  <c r="AB4" i="7"/>
  <c r="AA4" i="7"/>
  <c r="Z4" i="7"/>
  <c r="Y4" i="7"/>
  <c r="X4" i="7"/>
  <c r="W4" i="7"/>
  <c r="W16" i="7" s="1"/>
  <c r="V4" i="7"/>
  <c r="V5" i="7" s="1"/>
  <c r="U4" i="7"/>
  <c r="U16" i="7" s="1"/>
  <c r="T4" i="7"/>
  <c r="T16" i="7" s="1"/>
  <c r="S4" i="7"/>
  <c r="S16" i="7" s="1"/>
  <c r="R4" i="7"/>
  <c r="R16" i="7" s="1"/>
  <c r="Q4" i="7"/>
  <c r="Q5" i="7" s="1"/>
  <c r="P4" i="7"/>
  <c r="P5" i="7" s="1"/>
  <c r="O4" i="7"/>
  <c r="O5" i="7" s="1"/>
  <c r="N4" i="7"/>
  <c r="N5" i="7" s="1"/>
  <c r="M4" i="7"/>
  <c r="L4" i="7"/>
  <c r="L96" i="7" s="1"/>
  <c r="K4" i="7"/>
  <c r="J4" i="7"/>
  <c r="J96" i="7" s="1"/>
  <c r="I4" i="7"/>
  <c r="I5" i="7" s="1"/>
  <c r="H4" i="7"/>
  <c r="G4" i="7"/>
  <c r="F4" i="7"/>
  <c r="F5" i="7" s="1"/>
  <c r="E4" i="7"/>
  <c r="D4" i="7"/>
  <c r="D5" i="7" s="1"/>
  <c r="AH4" i="6"/>
  <c r="AH25" i="6" s="1"/>
  <c r="AG4" i="6"/>
  <c r="AG25" i="6" s="1"/>
  <c r="AF4" i="6"/>
  <c r="AF25" i="6" s="1"/>
  <c r="AE4" i="6"/>
  <c r="AE25" i="6" s="1"/>
  <c r="AD4" i="6"/>
  <c r="AD25" i="6" s="1"/>
  <c r="AC4" i="6"/>
  <c r="AC25" i="6" s="1"/>
  <c r="AB4" i="6"/>
  <c r="AA4" i="6"/>
  <c r="Z4" i="6"/>
  <c r="Y4" i="6"/>
  <c r="X4" i="6"/>
  <c r="X12" i="6" s="1"/>
  <c r="W4" i="6"/>
  <c r="V4" i="6"/>
  <c r="U4" i="6"/>
  <c r="U5" i="6" s="1"/>
  <c r="T4" i="6"/>
  <c r="S4" i="6"/>
  <c r="R4" i="6"/>
  <c r="R92" i="6" s="1"/>
  <c r="Q4" i="6"/>
  <c r="Q92" i="6" s="1"/>
  <c r="P4" i="6"/>
  <c r="P12" i="6" s="1"/>
  <c r="O4" i="6"/>
  <c r="O25" i="6" s="1"/>
  <c r="N4" i="6"/>
  <c r="N25" i="6" s="1"/>
  <c r="M4" i="6"/>
  <c r="M14" i="6" s="1"/>
  <c r="L4" i="6"/>
  <c r="L92" i="6" s="1"/>
  <c r="K4" i="6"/>
  <c r="K14" i="6" s="1"/>
  <c r="J4" i="6"/>
  <c r="J104" i="6" s="1"/>
  <c r="I4" i="6"/>
  <c r="I14" i="6" s="1"/>
  <c r="H4" i="6"/>
  <c r="H94" i="6" s="1"/>
  <c r="G4" i="6"/>
  <c r="G5" i="6" s="1"/>
  <c r="F4" i="6"/>
  <c r="F5" i="6" s="1"/>
  <c r="E4" i="6"/>
  <c r="E5" i="6" s="1"/>
  <c r="D4" i="6"/>
  <c r="AH4" i="5"/>
  <c r="AG4" i="5"/>
  <c r="AF4" i="5"/>
  <c r="AE4" i="5"/>
  <c r="AD4" i="5"/>
  <c r="AC4" i="5"/>
  <c r="AB4" i="5"/>
  <c r="AA4" i="5"/>
  <c r="Z4" i="5"/>
  <c r="Y4" i="5"/>
  <c r="X4" i="5"/>
  <c r="W4" i="5"/>
  <c r="W5" i="5" s="1"/>
  <c r="V4" i="5"/>
  <c r="V92" i="5" s="1"/>
  <c r="U4" i="5"/>
  <c r="U5" i="5" s="1"/>
  <c r="T4" i="5"/>
  <c r="T104" i="5" s="1"/>
  <c r="S4" i="5"/>
  <c r="R4" i="5"/>
  <c r="R104" i="5" s="1"/>
  <c r="Q4" i="5"/>
  <c r="Q104" i="5" s="1"/>
  <c r="P4" i="5"/>
  <c r="O4" i="5"/>
  <c r="O92" i="5" s="1"/>
  <c r="N4" i="5"/>
  <c r="N5" i="5" s="1"/>
  <c r="M4" i="5"/>
  <c r="M5" i="5" s="1"/>
  <c r="L4" i="5"/>
  <c r="L5" i="5" s="1"/>
  <c r="K4" i="5"/>
  <c r="J4" i="5"/>
  <c r="J5" i="5" s="1"/>
  <c r="I4" i="5"/>
  <c r="H4" i="5"/>
  <c r="H5" i="5" s="1"/>
  <c r="G4" i="5"/>
  <c r="G12" i="5" s="1"/>
  <c r="F4" i="5"/>
  <c r="F5" i="5" s="1"/>
  <c r="E4" i="5"/>
  <c r="D4" i="5"/>
  <c r="D5" i="5" s="1"/>
  <c r="B97" i="4"/>
  <c r="B91" i="4"/>
  <c r="B90" i="4"/>
  <c r="B89" i="4"/>
  <c r="B88" i="4"/>
  <c r="B86" i="4"/>
  <c r="B17" i="4"/>
  <c r="B11" i="4"/>
  <c r="B10" i="4"/>
  <c r="B9" i="4"/>
  <c r="B8" i="4"/>
  <c r="B6" i="4"/>
  <c r="AH4" i="4"/>
  <c r="AH28" i="4" s="1"/>
  <c r="AG4" i="4"/>
  <c r="AG111" i="4" s="1"/>
  <c r="AF4" i="4"/>
  <c r="AF28" i="4" s="1"/>
  <c r="AE4" i="4"/>
  <c r="AD4" i="4"/>
  <c r="AD28" i="4" s="1"/>
  <c r="AC4" i="4"/>
  <c r="AB4" i="4"/>
  <c r="AB112" i="4" s="1"/>
  <c r="AA4" i="4"/>
  <c r="Z4" i="4"/>
  <c r="Z112" i="4" s="1"/>
  <c r="Y4" i="4"/>
  <c r="Y112" i="4" s="1"/>
  <c r="X4" i="4"/>
  <c r="W4" i="4"/>
  <c r="W112" i="4" s="1"/>
  <c r="V4" i="4"/>
  <c r="V31" i="4" s="1"/>
  <c r="U4" i="4"/>
  <c r="U31" i="4" s="1"/>
  <c r="T4" i="4"/>
  <c r="T31" i="4" s="1"/>
  <c r="S4" i="4"/>
  <c r="S31" i="4" s="1"/>
  <c r="R4" i="4"/>
  <c r="R28" i="4" s="1"/>
  <c r="Q4" i="4"/>
  <c r="Q111" i="4" s="1"/>
  <c r="P4" i="4"/>
  <c r="O4" i="4"/>
  <c r="O28" i="4" s="1"/>
  <c r="N4" i="4"/>
  <c r="N28" i="4" s="1"/>
  <c r="M4" i="4"/>
  <c r="M32" i="4" s="1"/>
  <c r="L4" i="4"/>
  <c r="L5" i="4" s="1"/>
  <c r="K4" i="4"/>
  <c r="J4" i="4"/>
  <c r="J108" i="4" s="1"/>
  <c r="I4" i="4"/>
  <c r="H4" i="4"/>
  <c r="G4" i="4"/>
  <c r="G112" i="4" s="1"/>
  <c r="F4" i="4"/>
  <c r="E4" i="4"/>
  <c r="E108" i="4" s="1"/>
  <c r="D4" i="4"/>
  <c r="D5" i="4" s="1"/>
  <c r="B11" i="3"/>
  <c r="B7" i="3"/>
  <c r="B6" i="3"/>
  <c r="AH4" i="3"/>
  <c r="AH20" i="3" s="1"/>
  <c r="AG4" i="3"/>
  <c r="AF4" i="3"/>
  <c r="AE4" i="3"/>
  <c r="AD4" i="3"/>
  <c r="AC4" i="3"/>
  <c r="AB4" i="3"/>
  <c r="AA4" i="3"/>
  <c r="Z4" i="3"/>
  <c r="Z25" i="3" s="1"/>
  <c r="Y4" i="3"/>
  <c r="X4" i="3"/>
  <c r="X25" i="3" s="1"/>
  <c r="W4" i="3"/>
  <c r="V4" i="3"/>
  <c r="V25" i="3" s="1"/>
  <c r="U4" i="3"/>
  <c r="U101" i="3" s="1"/>
  <c r="T4" i="3"/>
  <c r="T101" i="3" s="1"/>
  <c r="S4" i="3"/>
  <c r="S25" i="3" s="1"/>
  <c r="R4" i="3"/>
  <c r="R105" i="3" s="1"/>
  <c r="Q4" i="3"/>
  <c r="Q105" i="3" s="1"/>
  <c r="P4" i="3"/>
  <c r="P5" i="3" s="1"/>
  <c r="O4" i="3"/>
  <c r="O5" i="3" s="1"/>
  <c r="N4" i="3"/>
  <c r="M4" i="3"/>
  <c r="M21" i="3" s="1"/>
  <c r="L4" i="3"/>
  <c r="L5" i="3" s="1"/>
  <c r="K4" i="3"/>
  <c r="K25" i="3" s="1"/>
  <c r="J4" i="3"/>
  <c r="J5" i="3" s="1"/>
  <c r="I4" i="3"/>
  <c r="I20" i="3" s="1"/>
  <c r="H4" i="3"/>
  <c r="H25" i="3" s="1"/>
  <c r="G4" i="3"/>
  <c r="G21" i="3" s="1"/>
  <c r="F4" i="3"/>
  <c r="F5" i="3" s="1"/>
  <c r="E4" i="3"/>
  <c r="E101" i="3" s="1"/>
  <c r="D4" i="3"/>
  <c r="D105" i="3" s="1"/>
  <c r="B15" i="2"/>
  <c r="G9" i="10" s="1"/>
  <c r="G10" i="5" l="1"/>
  <c r="H17" i="5"/>
  <c r="V5" i="3"/>
  <c r="O111" i="4"/>
  <c r="J12" i="6"/>
  <c r="J5" i="7"/>
  <c r="Z5" i="7"/>
  <c r="AB25" i="3"/>
  <c r="Z101" i="3"/>
  <c r="Z90" i="5" s="1"/>
  <c r="J20" i="3"/>
  <c r="J11" i="7" s="1"/>
  <c r="J12" i="7" s="1"/>
  <c r="N105" i="6"/>
  <c r="AD112" i="4"/>
  <c r="U34" i="4"/>
  <c r="R112" i="4"/>
  <c r="R104" i="8" s="1"/>
  <c r="T90" i="5"/>
  <c r="N108" i="4"/>
  <c r="N101" i="8" s="1"/>
  <c r="F100" i="3"/>
  <c r="F91" i="7" s="1"/>
  <c r="F92" i="7" s="1"/>
  <c r="AE5" i="6"/>
  <c r="F101" i="3"/>
  <c r="F90" i="5" s="1"/>
  <c r="M5" i="4"/>
  <c r="AF12" i="6"/>
  <c r="N5" i="4"/>
  <c r="P92" i="6"/>
  <c r="G101" i="3"/>
  <c r="AH5" i="8"/>
  <c r="Y20" i="3"/>
  <c r="K12" i="6"/>
  <c r="K20" i="3"/>
  <c r="K11" i="7" s="1"/>
  <c r="K12" i="7" s="1"/>
  <c r="AC21" i="3"/>
  <c r="R5" i="4"/>
  <c r="S5" i="4"/>
  <c r="P14" i="6"/>
  <c r="Y25" i="3"/>
  <c r="AC5" i="4"/>
  <c r="V5" i="5"/>
  <c r="V16" i="7"/>
  <c r="V34" i="4" s="1"/>
  <c r="R31" i="4"/>
  <c r="R23" i="8" s="1"/>
  <c r="H5" i="3"/>
  <c r="D100" i="3"/>
  <c r="D91" i="7" s="1"/>
  <c r="D92" i="7" s="1"/>
  <c r="D90" i="7"/>
  <c r="I5" i="3"/>
  <c r="Q5" i="4"/>
  <c r="H100" i="3"/>
  <c r="H91" i="7" s="1"/>
  <c r="H92" i="7" s="1"/>
  <c r="V24" i="5"/>
  <c r="V25" i="5" s="1"/>
  <c r="V26" i="5" s="1"/>
  <c r="V25" i="8" s="1"/>
  <c r="O5" i="6"/>
  <c r="Z20" i="3"/>
  <c r="X5" i="3"/>
  <c r="T100" i="3"/>
  <c r="T91" i="7" s="1"/>
  <c r="T107" i="8" s="1"/>
  <c r="P5" i="6"/>
  <c r="L114" i="4"/>
  <c r="U28" i="4"/>
  <c r="U21" i="8" s="1"/>
  <c r="AD12" i="5"/>
  <c r="R12" i="6"/>
  <c r="O5" i="4"/>
  <c r="AG12" i="6"/>
  <c r="AH12" i="6"/>
  <c r="R5" i="7"/>
  <c r="Q5" i="3"/>
  <c r="O31" i="4"/>
  <c r="O23" i="8" s="1"/>
  <c r="S5" i="7"/>
  <c r="I96" i="7"/>
  <c r="I114" i="4" s="1"/>
  <c r="N12" i="5"/>
  <c r="S5" i="3"/>
  <c r="H101" i="3"/>
  <c r="H90" i="5" s="1"/>
  <c r="T5" i="5"/>
  <c r="Z5" i="6"/>
  <c r="T5" i="7"/>
  <c r="J16" i="7"/>
  <c r="J34" i="4" s="1"/>
  <c r="T5" i="3"/>
  <c r="D25" i="3"/>
  <c r="D17" i="5" s="1"/>
  <c r="D18" i="5" s="1"/>
  <c r="I101" i="3"/>
  <c r="I90" i="5" s="1"/>
  <c r="AC31" i="4"/>
  <c r="O14" i="6"/>
  <c r="F25" i="3"/>
  <c r="F17" i="5" s="1"/>
  <c r="F18" i="5" s="1"/>
  <c r="J101" i="3"/>
  <c r="J90" i="5" s="1"/>
  <c r="AD31" i="4"/>
  <c r="D24" i="5"/>
  <c r="D25" i="5" s="1"/>
  <c r="D26" i="5" s="1"/>
  <c r="D25" i="8" s="1"/>
  <c r="Y5" i="7"/>
  <c r="AE31" i="4"/>
  <c r="R14" i="6"/>
  <c r="Y5" i="3"/>
  <c r="E32" i="4"/>
  <c r="O108" i="4"/>
  <c r="AD5" i="5"/>
  <c r="Y14" i="6"/>
  <c r="D10" i="7"/>
  <c r="Z16" i="7"/>
  <c r="R5" i="6"/>
  <c r="Z5" i="3"/>
  <c r="T105" i="3"/>
  <c r="T97" i="5" s="1"/>
  <c r="T98" i="5" s="1"/>
  <c r="T108" i="4"/>
  <c r="T101" i="8" s="1"/>
  <c r="T92" i="5"/>
  <c r="Z14" i="6"/>
  <c r="Y5" i="8"/>
  <c r="AH5" i="3"/>
  <c r="V105" i="3"/>
  <c r="V106" i="3" s="1"/>
  <c r="V94" i="5" s="1"/>
  <c r="E28" i="4"/>
  <c r="N32" i="4"/>
  <c r="N24" i="8" s="1"/>
  <c r="U108" i="4"/>
  <c r="U101" i="8" s="1"/>
  <c r="AF14" i="6"/>
  <c r="AA5" i="8"/>
  <c r="M10" i="5"/>
  <c r="E5" i="4"/>
  <c r="S28" i="4"/>
  <c r="S21" i="8" s="1"/>
  <c r="U32" i="4"/>
  <c r="U24" i="8" s="1"/>
  <c r="AD108" i="4"/>
  <c r="AD101" i="8" s="1"/>
  <c r="F12" i="5"/>
  <c r="I12" i="6"/>
  <c r="AB5" i="8"/>
  <c r="G108" i="4"/>
  <c r="G101" i="8" s="1"/>
  <c r="L20" i="3"/>
  <c r="L11" i="7" s="1"/>
  <c r="AE25" i="3"/>
  <c r="Q14" i="6"/>
  <c r="AG25" i="3"/>
  <c r="M12" i="5"/>
  <c r="H12" i="6"/>
  <c r="D5" i="8"/>
  <c r="L105" i="3"/>
  <c r="L106" i="3" s="1"/>
  <c r="L94" i="5" s="1"/>
  <c r="G32" i="4"/>
  <c r="G24" i="8" s="1"/>
  <c r="AA5" i="5"/>
  <c r="X5" i="6"/>
  <c r="W108" i="4"/>
  <c r="W101" i="8" s="1"/>
  <c r="AB5" i="5"/>
  <c r="O12" i="5"/>
  <c r="AB17" i="5"/>
  <c r="Q104" i="6"/>
  <c r="W34" i="4"/>
  <c r="AA20" i="3"/>
  <c r="AA11" i="7" s="1"/>
  <c r="AA12" i="7" s="1"/>
  <c r="AA14" i="6"/>
  <c r="AB5" i="7"/>
  <c r="AB5" i="3"/>
  <c r="D21" i="3"/>
  <c r="D22" i="3" s="1"/>
  <c r="D29" i="3" s="1"/>
  <c r="Y26" i="3"/>
  <c r="I100" i="3"/>
  <c r="I91" i="7" s="1"/>
  <c r="I92" i="7" s="1"/>
  <c r="X105" i="3"/>
  <c r="X97" i="5" s="1"/>
  <c r="X98" i="5" s="1"/>
  <c r="T5" i="4"/>
  <c r="G28" i="4"/>
  <c r="G21" i="8" s="1"/>
  <c r="D31" i="4"/>
  <c r="D23" i="8" s="1"/>
  <c r="O32" i="4"/>
  <c r="O24" i="8" s="1"/>
  <c r="AE108" i="4"/>
  <c r="AG12" i="5"/>
  <c r="AF5" i="6"/>
  <c r="O12" i="6"/>
  <c r="AB14" i="6"/>
  <c r="P105" i="6"/>
  <c r="AE5" i="7"/>
  <c r="D5" i="3"/>
  <c r="AE5" i="3"/>
  <c r="J21" i="3"/>
  <c r="J10" i="5" s="1"/>
  <c r="I25" i="3"/>
  <c r="I26" i="3" s="1"/>
  <c r="I14" i="5" s="1"/>
  <c r="Z26" i="3"/>
  <c r="K100" i="3"/>
  <c r="K91" i="7" s="1"/>
  <c r="K92" i="7" s="1"/>
  <c r="X101" i="3"/>
  <c r="X90" i="5" s="1"/>
  <c r="U5" i="4"/>
  <c r="E31" i="4"/>
  <c r="E23" i="8" s="1"/>
  <c r="S32" i="4"/>
  <c r="S24" i="8" s="1"/>
  <c r="AH5" i="6"/>
  <c r="AC14" i="6"/>
  <c r="AF5" i="7"/>
  <c r="AB20" i="3"/>
  <c r="AB11" i="7" s="1"/>
  <c r="AB12" i="7" s="1"/>
  <c r="AF5" i="3"/>
  <c r="K21" i="3"/>
  <c r="K10" i="5" s="1"/>
  <c r="L25" i="3"/>
  <c r="L17" i="5" s="1"/>
  <c r="L18" i="5" s="1"/>
  <c r="L100" i="3"/>
  <c r="L91" i="7" s="1"/>
  <c r="L92" i="7" s="1"/>
  <c r="Y101" i="3"/>
  <c r="W5" i="4"/>
  <c r="N31" i="4"/>
  <c r="T32" i="4"/>
  <c r="T24" i="8" s="1"/>
  <c r="N92" i="5"/>
  <c r="Q12" i="6"/>
  <c r="AE14" i="6"/>
  <c r="AG5" i="7"/>
  <c r="G111" i="4"/>
  <c r="G103" i="8" s="1"/>
  <c r="AH5" i="7"/>
  <c r="AH11" i="7"/>
  <c r="L101" i="3"/>
  <c r="L90" i="5" s="1"/>
  <c r="L21" i="3"/>
  <c r="L10" i="5" s="1"/>
  <c r="V100" i="3"/>
  <c r="V91" i="7" s="1"/>
  <c r="V92" i="7" s="1"/>
  <c r="AG14" i="6"/>
  <c r="L5" i="7"/>
  <c r="AA101" i="3"/>
  <c r="T21" i="3"/>
  <c r="T10" i="5" s="1"/>
  <c r="X100" i="3"/>
  <c r="X91" i="7" s="1"/>
  <c r="X92" i="7" s="1"/>
  <c r="AB101" i="3"/>
  <c r="AD5" i="4"/>
  <c r="W28" i="4"/>
  <c r="W21" i="8" s="1"/>
  <c r="AD32" i="4"/>
  <c r="Y12" i="6"/>
  <c r="J14" i="6"/>
  <c r="AH14" i="6"/>
  <c r="P16" i="7"/>
  <c r="P34" i="4" s="1"/>
  <c r="AG5" i="3"/>
  <c r="Q25" i="3"/>
  <c r="Q17" i="5" s="1"/>
  <c r="Q18" i="5" s="1"/>
  <c r="Z21" i="3"/>
  <c r="Z10" i="5" s="1"/>
  <c r="T25" i="3"/>
  <c r="T26" i="3" s="1"/>
  <c r="T14" i="5" s="1"/>
  <c r="Y100" i="3"/>
  <c r="AE5" i="4"/>
  <c r="AE28" i="4"/>
  <c r="AE32" i="4"/>
  <c r="W111" i="4"/>
  <c r="W103" i="8" s="1"/>
  <c r="AD92" i="5"/>
  <c r="Z12" i="6"/>
  <c r="AH92" i="6"/>
  <c r="Y96" i="7"/>
  <c r="O25" i="3"/>
  <c r="O26" i="3" s="1"/>
  <c r="O14" i="5" s="1"/>
  <c r="AA21" i="3"/>
  <c r="AA100" i="3"/>
  <c r="G5" i="4"/>
  <c r="AG5" i="4"/>
  <c r="AG28" i="4"/>
  <c r="AE111" i="4"/>
  <c r="H5" i="6"/>
  <c r="AA12" i="6"/>
  <c r="L14" i="6"/>
  <c r="Z96" i="7"/>
  <c r="Z114" i="4" s="1"/>
  <c r="AB5" i="4"/>
  <c r="V26" i="3"/>
  <c r="V14" i="5" s="1"/>
  <c r="W32" i="4"/>
  <c r="W24" i="8" s="1"/>
  <c r="AB21" i="3"/>
  <c r="AB10" i="5" s="1"/>
  <c r="AB100" i="3"/>
  <c r="J5" i="4"/>
  <c r="AH5" i="4"/>
  <c r="N112" i="4"/>
  <c r="N104" i="8" s="1"/>
  <c r="R5" i="5"/>
  <c r="J5" i="6"/>
  <c r="AE12" i="6"/>
  <c r="Z94" i="6"/>
  <c r="AB96" i="7"/>
  <c r="N5" i="3"/>
  <c r="AD5" i="3"/>
  <c r="N25" i="3"/>
  <c r="N17" i="5" s="1"/>
  <c r="N18" i="5" s="1"/>
  <c r="AD25" i="3"/>
  <c r="AD17" i="5" s="1"/>
  <c r="AD18" i="5" s="1"/>
  <c r="AE26" i="3"/>
  <c r="S100" i="3"/>
  <c r="S91" i="7" s="1"/>
  <c r="S107" i="8" s="1"/>
  <c r="D101" i="3"/>
  <c r="S105" i="3"/>
  <c r="S97" i="5" s="1"/>
  <c r="S98" i="5" s="1"/>
  <c r="F111" i="4"/>
  <c r="F103" i="8" s="1"/>
  <c r="F112" i="4"/>
  <c r="F104" i="8" s="1"/>
  <c r="F28" i="4"/>
  <c r="F21" i="8" s="1"/>
  <c r="F5" i="4"/>
  <c r="V111" i="4"/>
  <c r="V103" i="8" s="1"/>
  <c r="V112" i="4"/>
  <c r="V104" i="8" s="1"/>
  <c r="V28" i="4"/>
  <c r="V21" i="8" s="1"/>
  <c r="V5" i="4"/>
  <c r="I5" i="4"/>
  <c r="F32" i="4"/>
  <c r="F24" i="8" s="1"/>
  <c r="F108" i="4"/>
  <c r="F101" i="8" s="1"/>
  <c r="M111" i="4"/>
  <c r="M103" i="8" s="1"/>
  <c r="S92" i="5"/>
  <c r="S24" i="5"/>
  <c r="S25" i="5" s="1"/>
  <c r="S26" i="5" s="1"/>
  <c r="S25" i="8" s="1"/>
  <c r="S17" i="5"/>
  <c r="S18" i="5" s="1"/>
  <c r="S104" i="5"/>
  <c r="S105" i="5" s="1"/>
  <c r="S106" i="5" s="1"/>
  <c r="S105" i="8" s="1"/>
  <c r="P25" i="3"/>
  <c r="P26" i="3" s="1"/>
  <c r="P14" i="5" s="1"/>
  <c r="AF25" i="3"/>
  <c r="AF26" i="3" s="1"/>
  <c r="E100" i="3"/>
  <c r="E91" i="7" s="1"/>
  <c r="E92" i="7" s="1"/>
  <c r="U100" i="3"/>
  <c r="U91" i="7" s="1"/>
  <c r="U92" i="7" s="1"/>
  <c r="W101" i="3"/>
  <c r="W90" i="5" s="1"/>
  <c r="U105" i="3"/>
  <c r="U106" i="3" s="1"/>
  <c r="U94" i="5" s="1"/>
  <c r="H5" i="4"/>
  <c r="H32" i="4"/>
  <c r="H24" i="8" s="1"/>
  <c r="X5" i="4"/>
  <c r="X32" i="4"/>
  <c r="X24" i="8" s="1"/>
  <c r="X112" i="4"/>
  <c r="X104" i="8" s="1"/>
  <c r="K5" i="4"/>
  <c r="I32" i="4"/>
  <c r="I24" i="8" s="1"/>
  <c r="H108" i="4"/>
  <c r="H101" i="8" s="1"/>
  <c r="U90" i="5"/>
  <c r="I31" i="4"/>
  <c r="I23" i="8" s="1"/>
  <c r="I108" i="4"/>
  <c r="I101" i="8" s="1"/>
  <c r="Y114" i="4"/>
  <c r="Y31" i="4"/>
  <c r="Y23" i="8" s="1"/>
  <c r="Y108" i="4"/>
  <c r="B21" i="4"/>
  <c r="N21" i="3"/>
  <c r="N10" i="5" s="1"/>
  <c r="AD21" i="3"/>
  <c r="AD10" i="5" s="1"/>
  <c r="R25" i="3"/>
  <c r="R26" i="3" s="1"/>
  <c r="R14" i="5" s="1"/>
  <c r="AH25" i="3"/>
  <c r="AH26" i="3" s="1"/>
  <c r="S26" i="3"/>
  <c r="S14" i="5" s="1"/>
  <c r="G100" i="3"/>
  <c r="G91" i="7" s="1"/>
  <c r="G92" i="7" s="1"/>
  <c r="W100" i="3"/>
  <c r="W91" i="7" s="1"/>
  <c r="W92" i="7" s="1"/>
  <c r="W105" i="3"/>
  <c r="W106" i="3" s="1"/>
  <c r="W94" i="5" s="1"/>
  <c r="J32" i="4"/>
  <c r="J24" i="8" s="1"/>
  <c r="J114" i="4"/>
  <c r="Z32" i="4"/>
  <c r="Z24" i="8" s="1"/>
  <c r="Z34" i="4"/>
  <c r="X28" i="4"/>
  <c r="X21" i="8" s="1"/>
  <c r="X111" i="4"/>
  <c r="X103" i="8" s="1"/>
  <c r="AA112" i="4"/>
  <c r="M20" i="3"/>
  <c r="M11" i="7" s="1"/>
  <c r="M12" i="7" s="1"/>
  <c r="E105" i="3"/>
  <c r="E106" i="3" s="1"/>
  <c r="E94" i="5" s="1"/>
  <c r="K32" i="4"/>
  <c r="K24" i="8" s="1"/>
  <c r="K108" i="4"/>
  <c r="K101" i="8" s="1"/>
  <c r="AA32" i="4"/>
  <c r="AA24" i="8" s="1"/>
  <c r="AA108" i="4"/>
  <c r="Y28" i="4"/>
  <c r="Y21" i="8" s="1"/>
  <c r="Y111" i="4"/>
  <c r="B10" i="10"/>
  <c r="B87" i="4"/>
  <c r="B92" i="4" s="1"/>
  <c r="AF21" i="3"/>
  <c r="F105" i="3"/>
  <c r="F97" i="5" s="1"/>
  <c r="F98" i="5" s="1"/>
  <c r="AA105" i="3"/>
  <c r="L28" i="4"/>
  <c r="L21" i="8" s="1"/>
  <c r="L32" i="4"/>
  <c r="L24" i="8" s="1"/>
  <c r="L108" i="4"/>
  <c r="L101" i="8" s="1"/>
  <c r="L111" i="4"/>
  <c r="L103" i="8" s="1"/>
  <c r="AB114" i="4"/>
  <c r="AB28" i="4"/>
  <c r="AB32" i="4"/>
  <c r="AB24" i="8" s="1"/>
  <c r="AB108" i="4"/>
  <c r="AB111" i="4"/>
  <c r="Z28" i="4"/>
  <c r="X31" i="4"/>
  <c r="X23" i="8" s="1"/>
  <c r="Z111" i="4"/>
  <c r="Z103" i="8" s="1"/>
  <c r="AC20" i="3"/>
  <c r="N20" i="3"/>
  <c r="N11" i="7" s="1"/>
  <c r="P21" i="3"/>
  <c r="P10" i="5" s="1"/>
  <c r="E5" i="3"/>
  <c r="U5" i="3"/>
  <c r="B8" i="3"/>
  <c r="P20" i="3"/>
  <c r="P11" i="7" s="1"/>
  <c r="P12" i="7" s="1"/>
  <c r="AF20" i="3"/>
  <c r="AF11" i="7" s="1"/>
  <c r="Q21" i="3"/>
  <c r="Q10" i="5" s="1"/>
  <c r="AG21" i="3"/>
  <c r="E25" i="3"/>
  <c r="E17" i="5" s="1"/>
  <c r="E18" i="5" s="1"/>
  <c r="U25" i="3"/>
  <c r="U26" i="3" s="1"/>
  <c r="U14" i="5" s="1"/>
  <c r="J100" i="3"/>
  <c r="J91" i="7" s="1"/>
  <c r="J92" i="7" s="1"/>
  <c r="Z100" i="3"/>
  <c r="K101" i="3"/>
  <c r="K90" i="5" s="1"/>
  <c r="G105" i="3"/>
  <c r="G106" i="3" s="1"/>
  <c r="G94" i="5" s="1"/>
  <c r="AB105" i="3"/>
  <c r="AB106" i="3" s="1"/>
  <c r="M28" i="4"/>
  <c r="M21" i="8" s="1"/>
  <c r="M108" i="4"/>
  <c r="M101" i="8" s="1"/>
  <c r="M112" i="4"/>
  <c r="M104" i="8" s="1"/>
  <c r="AC28" i="4"/>
  <c r="AC108" i="4"/>
  <c r="AC112" i="4"/>
  <c r="AC104" i="8" s="1"/>
  <c r="B7" i="4"/>
  <c r="B12" i="4" s="1"/>
  <c r="AA28" i="4"/>
  <c r="Z31" i="4"/>
  <c r="AA111" i="4"/>
  <c r="S12" i="5"/>
  <c r="D97" i="5"/>
  <c r="D98" i="5" s="1"/>
  <c r="R5" i="3"/>
  <c r="AD20" i="3"/>
  <c r="AD11" i="7" s="1"/>
  <c r="AD12" i="7" s="1"/>
  <c r="O20" i="3"/>
  <c r="O11" i="7" s="1"/>
  <c r="O12" i="7" s="1"/>
  <c r="Q20" i="3"/>
  <c r="Q11" i="7" s="1"/>
  <c r="Q12" i="7" s="1"/>
  <c r="AC101" i="3"/>
  <c r="AC90" i="5" s="1"/>
  <c r="H105" i="3"/>
  <c r="H106" i="3" s="1"/>
  <c r="H94" i="5" s="1"/>
  <c r="AC105" i="3"/>
  <c r="AC106" i="3" s="1"/>
  <c r="Q106" i="3"/>
  <c r="Q94" i="5" s="1"/>
  <c r="AA31" i="4"/>
  <c r="V108" i="4"/>
  <c r="V101" i="8" s="1"/>
  <c r="AC111" i="4"/>
  <c r="S5" i="5"/>
  <c r="AE20" i="3"/>
  <c r="AE11" i="7" s="1"/>
  <c r="R21" i="3"/>
  <c r="R10" i="5" s="1"/>
  <c r="V101" i="3"/>
  <c r="V90" i="5" s="1"/>
  <c r="G5" i="3"/>
  <c r="W5" i="3"/>
  <c r="R20" i="3"/>
  <c r="R11" i="7" s="1"/>
  <c r="R12" i="7" s="1"/>
  <c r="S21" i="3"/>
  <c r="S10" i="5" s="1"/>
  <c r="G25" i="3"/>
  <c r="G26" i="3" s="1"/>
  <c r="G14" i="5" s="1"/>
  <c r="W25" i="3"/>
  <c r="W26" i="3" s="1"/>
  <c r="W14" i="5" s="1"/>
  <c r="H26" i="3"/>
  <c r="H14" i="5" s="1"/>
  <c r="X26" i="3"/>
  <c r="X14" i="5" s="1"/>
  <c r="M101" i="3"/>
  <c r="M90" i="5" s="1"/>
  <c r="AD101" i="3"/>
  <c r="K105" i="3"/>
  <c r="K97" i="5" s="1"/>
  <c r="K98" i="5" s="1"/>
  <c r="AD105" i="3"/>
  <c r="AD97" i="5" s="1"/>
  <c r="AD98" i="5" s="1"/>
  <c r="R106" i="3"/>
  <c r="R94" i="5" s="1"/>
  <c r="H28" i="4"/>
  <c r="H21" i="8" s="1"/>
  <c r="F31" i="4"/>
  <c r="F23" i="8" s="1"/>
  <c r="AB31" i="4"/>
  <c r="V32" i="4"/>
  <c r="V24" i="8" s="1"/>
  <c r="AE101" i="3"/>
  <c r="AE105" i="3"/>
  <c r="AE106" i="3" s="1"/>
  <c r="P5" i="4"/>
  <c r="P31" i="4"/>
  <c r="P23" i="8" s="1"/>
  <c r="P32" i="4"/>
  <c r="P24" i="8" s="1"/>
  <c r="P108" i="4"/>
  <c r="P101" i="8" s="1"/>
  <c r="P111" i="4"/>
  <c r="P103" i="8" s="1"/>
  <c r="P112" i="4"/>
  <c r="P104" i="8" s="1"/>
  <c r="AF5" i="4"/>
  <c r="AF31" i="4"/>
  <c r="AF32" i="4"/>
  <c r="AF108" i="4"/>
  <c r="AF111" i="4"/>
  <c r="AF103" i="8" s="1"/>
  <c r="AF112" i="4"/>
  <c r="I28" i="4"/>
  <c r="I21" i="8" s="1"/>
  <c r="H31" i="4"/>
  <c r="H23" i="8" s="1"/>
  <c r="X108" i="4"/>
  <c r="X101" i="8" s="1"/>
  <c r="AG20" i="3"/>
  <c r="AG11" i="7" s="1"/>
  <c r="AG12" i="7" s="1"/>
  <c r="S20" i="3"/>
  <c r="S11" i="7" s="1"/>
  <c r="S12" i="7" s="1"/>
  <c r="U21" i="3"/>
  <c r="U10" i="5" s="1"/>
  <c r="N100" i="3"/>
  <c r="N91" i="7" s="1"/>
  <c r="N107" i="8" s="1"/>
  <c r="AD100" i="3"/>
  <c r="O101" i="3"/>
  <c r="O90" i="5" s="1"/>
  <c r="AF101" i="3"/>
  <c r="M105" i="3"/>
  <c r="M106" i="3" s="1"/>
  <c r="M94" i="5" s="1"/>
  <c r="AF105" i="3"/>
  <c r="AF106" i="3" s="1"/>
  <c r="Q31" i="4"/>
  <c r="Q23" i="8" s="1"/>
  <c r="Q32" i="4"/>
  <c r="Q24" i="8" s="1"/>
  <c r="Q108" i="4"/>
  <c r="Q112" i="4"/>
  <c r="Q104" i="8" s="1"/>
  <c r="AG31" i="4"/>
  <c r="AG32" i="4"/>
  <c r="AG108" i="4"/>
  <c r="AG112" i="4"/>
  <c r="J28" i="4"/>
  <c r="J31" i="4"/>
  <c r="J23" i="8" s="1"/>
  <c r="Y32" i="4"/>
  <c r="Z108" i="4"/>
  <c r="H112" i="4"/>
  <c r="H104" i="8" s="1"/>
  <c r="AH105" i="3"/>
  <c r="AH106" i="3" s="1"/>
  <c r="AH21" i="3"/>
  <c r="M100" i="3"/>
  <c r="M91" i="7" s="1"/>
  <c r="D20" i="3"/>
  <c r="D11" i="7" s="1"/>
  <c r="D27" i="8" s="1"/>
  <c r="E20" i="3"/>
  <c r="E11" i="7" s="1"/>
  <c r="F21" i="3"/>
  <c r="J25" i="3"/>
  <c r="K26" i="3"/>
  <c r="K14" i="5" s="1"/>
  <c r="O100" i="3"/>
  <c r="O91" i="7" s="1"/>
  <c r="O92" i="7" s="1"/>
  <c r="AE100" i="3"/>
  <c r="P101" i="3"/>
  <c r="P90" i="5" s="1"/>
  <c r="AG101" i="3"/>
  <c r="N105" i="3"/>
  <c r="N97" i="5" s="1"/>
  <c r="N98" i="5" s="1"/>
  <c r="AG105" i="3"/>
  <c r="AG97" i="5" s="1"/>
  <c r="AG98" i="5" s="1"/>
  <c r="R32" i="4"/>
  <c r="R24" i="8" s="1"/>
  <c r="R108" i="4"/>
  <c r="R101" i="8" s="1"/>
  <c r="R34" i="4"/>
  <c r="R111" i="4"/>
  <c r="R103" i="8" s="1"/>
  <c r="AH32" i="4"/>
  <c r="AH108" i="4"/>
  <c r="AH111" i="4"/>
  <c r="AH112" i="4"/>
  <c r="K28" i="4"/>
  <c r="K21" i="8" s="1"/>
  <c r="K31" i="4"/>
  <c r="K23" i="8" s="1"/>
  <c r="AC32" i="4"/>
  <c r="H111" i="4"/>
  <c r="H103" i="8" s="1"/>
  <c r="I112" i="4"/>
  <c r="I104" i="8" s="1"/>
  <c r="AE21" i="3"/>
  <c r="AC100" i="3"/>
  <c r="E21" i="3"/>
  <c r="I105" i="3"/>
  <c r="I106" i="3" s="1"/>
  <c r="I94" i="5" s="1"/>
  <c r="U20" i="3"/>
  <c r="U11" i="7" s="1"/>
  <c r="U12" i="7" s="1"/>
  <c r="V21" i="3"/>
  <c r="J105" i="3"/>
  <c r="J106" i="3" s="1"/>
  <c r="J94" i="5" s="1"/>
  <c r="Z105" i="3"/>
  <c r="Z106" i="3" s="1"/>
  <c r="K5" i="3"/>
  <c r="AA5" i="3"/>
  <c r="F20" i="3"/>
  <c r="F11" i="7" s="1"/>
  <c r="V20" i="3"/>
  <c r="V11" i="7" s="1"/>
  <c r="V12" i="7" s="1"/>
  <c r="W21" i="3"/>
  <c r="W10" i="5" s="1"/>
  <c r="AA25" i="3"/>
  <c r="AB26" i="3"/>
  <c r="AB14" i="5" s="1"/>
  <c r="P100" i="3"/>
  <c r="P91" i="7" s="1"/>
  <c r="P92" i="7" s="1"/>
  <c r="AF100" i="3"/>
  <c r="Q101" i="3"/>
  <c r="Q90" i="5" s="1"/>
  <c r="AH101" i="3"/>
  <c r="O105" i="3"/>
  <c r="O106" i="3" s="1"/>
  <c r="O94" i="5" s="1"/>
  <c r="D106" i="3"/>
  <c r="D94" i="5" s="1"/>
  <c r="S108" i="4"/>
  <c r="S101" i="8" s="1"/>
  <c r="S34" i="4"/>
  <c r="S111" i="4"/>
  <c r="S103" i="8" s="1"/>
  <c r="S112" i="4"/>
  <c r="S104" i="8" s="1"/>
  <c r="Y5" i="4"/>
  <c r="L31" i="4"/>
  <c r="L23" i="8" s="1"/>
  <c r="AH31" i="4"/>
  <c r="B101" i="4"/>
  <c r="I111" i="4"/>
  <c r="I103" i="8" s="1"/>
  <c r="J112" i="4"/>
  <c r="J104" i="8" s="1"/>
  <c r="P12" i="5"/>
  <c r="P92" i="5"/>
  <c r="P5" i="5"/>
  <c r="P24" i="5"/>
  <c r="P25" i="5" s="1"/>
  <c r="P104" i="5"/>
  <c r="P105" i="5" s="1"/>
  <c r="P106" i="5" s="1"/>
  <c r="P105" i="8" s="1"/>
  <c r="AF90" i="5"/>
  <c r="AF12" i="5"/>
  <c r="AF92" i="5"/>
  <c r="AF5" i="5"/>
  <c r="AF24" i="5"/>
  <c r="AF17" i="5"/>
  <c r="AF18" i="5" s="1"/>
  <c r="AF104" i="5"/>
  <c r="O21" i="3"/>
  <c r="O10" i="5" s="1"/>
  <c r="N101" i="3"/>
  <c r="N90" i="5" s="1"/>
  <c r="W20" i="3"/>
  <c r="W11" i="7" s="1"/>
  <c r="W12" i="7" s="1"/>
  <c r="X21" i="3"/>
  <c r="X10" i="5" s="1"/>
  <c r="Q100" i="3"/>
  <c r="Q91" i="7" s="1"/>
  <c r="AG100" i="3"/>
  <c r="R101" i="3"/>
  <c r="R90" i="5" s="1"/>
  <c r="P105" i="3"/>
  <c r="P97" i="5" s="1"/>
  <c r="P98" i="5" s="1"/>
  <c r="X106" i="3"/>
  <c r="X94" i="5" s="1"/>
  <c r="D111" i="4"/>
  <c r="D103" i="8" s="1"/>
  <c r="D112" i="4"/>
  <c r="D104" i="8" s="1"/>
  <c r="D28" i="4"/>
  <c r="D21" i="8" s="1"/>
  <c r="T34" i="4"/>
  <c r="T111" i="4"/>
  <c r="T103" i="8" s="1"/>
  <c r="T112" i="4"/>
  <c r="T104" i="8" s="1"/>
  <c r="T28" i="4"/>
  <c r="T21" i="8" s="1"/>
  <c r="Z5" i="4"/>
  <c r="P28" i="4"/>
  <c r="P21" i="8" s="1"/>
  <c r="M31" i="4"/>
  <c r="M23" i="8" s="1"/>
  <c r="D32" i="4"/>
  <c r="D24" i="8" s="1"/>
  <c r="D108" i="4"/>
  <c r="D101" i="8" s="1"/>
  <c r="J111" i="4"/>
  <c r="J103" i="8" s="1"/>
  <c r="K112" i="4"/>
  <c r="K104" i="8" s="1"/>
  <c r="Q92" i="5"/>
  <c r="Q97" i="5"/>
  <c r="Q98" i="5" s="1"/>
  <c r="Q105" i="5"/>
  <c r="Q106" i="5" s="1"/>
  <c r="Q105" i="8" s="1"/>
  <c r="Q24" i="5"/>
  <c r="Q12" i="5"/>
  <c r="Q5" i="5"/>
  <c r="AG90" i="5"/>
  <c r="AG92" i="5"/>
  <c r="AG5" i="5"/>
  <c r="AG10" i="5"/>
  <c r="AG24" i="5"/>
  <c r="AG104" i="5"/>
  <c r="AG105" i="5" s="1"/>
  <c r="AG106" i="5" s="1"/>
  <c r="AG105" i="8" s="1"/>
  <c r="T20" i="3"/>
  <c r="T11" i="7" s="1"/>
  <c r="Y105" i="3"/>
  <c r="Y106" i="3" s="1"/>
  <c r="AA106" i="3"/>
  <c r="AA94" i="5" s="1"/>
  <c r="G20" i="3"/>
  <c r="G11" i="7" s="1"/>
  <c r="G12" i="7" s="1"/>
  <c r="H21" i="3"/>
  <c r="H10" i="5" s="1"/>
  <c r="M5" i="3"/>
  <c r="AC5" i="3"/>
  <c r="H20" i="3"/>
  <c r="H11" i="7" s="1"/>
  <c r="H12" i="7" s="1"/>
  <c r="X20" i="3"/>
  <c r="X11" i="7" s="1"/>
  <c r="I21" i="3"/>
  <c r="I10" i="5" s="1"/>
  <c r="Y21" i="3"/>
  <c r="Y10" i="5" s="1"/>
  <c r="M25" i="3"/>
  <c r="AC25" i="3"/>
  <c r="AC26" i="3" s="1"/>
  <c r="AD26" i="3"/>
  <c r="R100" i="3"/>
  <c r="R91" i="7" s="1"/>
  <c r="R92" i="7" s="1"/>
  <c r="AH100" i="3"/>
  <c r="S101" i="3"/>
  <c r="AA5" i="4"/>
  <c r="Q28" i="4"/>
  <c r="Q21" i="8" s="1"/>
  <c r="K111" i="4"/>
  <c r="K103" i="8" s="1"/>
  <c r="L112" i="4"/>
  <c r="L104" i="8" s="1"/>
  <c r="O104" i="5"/>
  <c r="O105" i="5" s="1"/>
  <c r="O5" i="5"/>
  <c r="AE104" i="5"/>
  <c r="AE5" i="5"/>
  <c r="AE105" i="5"/>
  <c r="AE106" i="5" s="1"/>
  <c r="AE90" i="5"/>
  <c r="AE97" i="5"/>
  <c r="AE98" i="5" s="1"/>
  <c r="AE12" i="5"/>
  <c r="Y14" i="5"/>
  <c r="Z17" i="5"/>
  <c r="Z18" i="5" s="1"/>
  <c r="U24" i="5"/>
  <c r="U25" i="5" s="1"/>
  <c r="U26" i="5" s="1"/>
  <c r="U25" i="8" s="1"/>
  <c r="AH25" i="5"/>
  <c r="AB97" i="5"/>
  <c r="W24" i="5"/>
  <c r="R12" i="5"/>
  <c r="R92" i="5"/>
  <c r="AH12" i="5"/>
  <c r="AH92" i="5"/>
  <c r="X24" i="5"/>
  <c r="U92" i="5"/>
  <c r="E24" i="5"/>
  <c r="E25" i="5" s="1"/>
  <c r="E26" i="5" s="1"/>
  <c r="E25" i="8" s="1"/>
  <c r="Y24" i="5"/>
  <c r="Y25" i="5" s="1"/>
  <c r="Y26" i="5" s="1"/>
  <c r="Y25" i="8" s="1"/>
  <c r="G31" i="4"/>
  <c r="G23" i="8" s="1"/>
  <c r="W31" i="4"/>
  <c r="W23" i="8" s="1"/>
  <c r="E5" i="5"/>
  <c r="AA10" i="5"/>
  <c r="T12" i="5"/>
  <c r="K17" i="5"/>
  <c r="K18" i="5" s="1"/>
  <c r="AE17" i="5"/>
  <c r="F24" i="5"/>
  <c r="Z24" i="5"/>
  <c r="Z25" i="5" s="1"/>
  <c r="Z26" i="5" s="1"/>
  <c r="W92" i="5"/>
  <c r="E104" i="5"/>
  <c r="E105" i="5" s="1"/>
  <c r="U17" i="5"/>
  <c r="U18" i="5" s="1"/>
  <c r="U97" i="5"/>
  <c r="U98" i="5" s="1"/>
  <c r="U104" i="5"/>
  <c r="U105" i="5" s="1"/>
  <c r="U106" i="5" s="1"/>
  <c r="U105" i="8" s="1"/>
  <c r="U12" i="5"/>
  <c r="AE14" i="5"/>
  <c r="G24" i="5"/>
  <c r="G25" i="5" s="1"/>
  <c r="AE24" i="5"/>
  <c r="AE25" i="5" s="1"/>
  <c r="D92" i="5"/>
  <c r="X92" i="5"/>
  <c r="D100" i="6"/>
  <c r="D104" i="6"/>
  <c r="D94" i="6"/>
  <c r="D12" i="6"/>
  <c r="D105" i="6"/>
  <c r="D14" i="6"/>
  <c r="D92" i="6"/>
  <c r="D99" i="6"/>
  <c r="D19" i="6"/>
  <c r="D20" i="6"/>
  <c r="D25" i="6"/>
  <c r="D5" i="6"/>
  <c r="T104" i="6"/>
  <c r="T12" i="6"/>
  <c r="T94" i="6"/>
  <c r="T14" i="6"/>
  <c r="T105" i="6"/>
  <c r="T92" i="6"/>
  <c r="T25" i="6"/>
  <c r="T5" i="6"/>
  <c r="D24" i="6"/>
  <c r="N111" i="4"/>
  <c r="N103" i="8" s="1"/>
  <c r="AD111" i="4"/>
  <c r="AD103" i="8" s="1"/>
  <c r="O112" i="4"/>
  <c r="O104" i="8" s="1"/>
  <c r="AE112" i="4"/>
  <c r="F104" i="5"/>
  <c r="F105" i="5" s="1"/>
  <c r="V17" i="5"/>
  <c r="V18" i="5" s="1"/>
  <c r="V104" i="5"/>
  <c r="G5" i="5"/>
  <c r="X5" i="5"/>
  <c r="D12" i="5"/>
  <c r="V12" i="5"/>
  <c r="H24" i="5"/>
  <c r="H25" i="5" s="1"/>
  <c r="E92" i="5"/>
  <c r="Y92" i="5"/>
  <c r="AH104" i="5"/>
  <c r="E99" i="6"/>
  <c r="E104" i="6"/>
  <c r="E105" i="6"/>
  <c r="E94" i="6"/>
  <c r="E12" i="6"/>
  <c r="E14" i="6"/>
  <c r="E100" i="6"/>
  <c r="E92" i="6"/>
  <c r="E19" i="6"/>
  <c r="E20" i="6"/>
  <c r="E24" i="6"/>
  <c r="U104" i="6"/>
  <c r="U105" i="6"/>
  <c r="U12" i="6"/>
  <c r="U94" i="6"/>
  <c r="U14" i="6"/>
  <c r="U92" i="6"/>
  <c r="U24" i="6"/>
  <c r="T24" i="6"/>
  <c r="G104" i="5"/>
  <c r="G105" i="5" s="1"/>
  <c r="W104" i="5"/>
  <c r="W105" i="5" s="1"/>
  <c r="W106" i="5" s="1"/>
  <c r="W105" i="8" s="1"/>
  <c r="Y5" i="5"/>
  <c r="E12" i="5"/>
  <c r="W12" i="5"/>
  <c r="AH17" i="5"/>
  <c r="AH18" i="5" s="1"/>
  <c r="I24" i="5"/>
  <c r="F92" i="5"/>
  <c r="Z92" i="5"/>
  <c r="F100" i="6"/>
  <c r="F105" i="6"/>
  <c r="F94" i="6"/>
  <c r="F12" i="6"/>
  <c r="F14" i="6"/>
  <c r="F104" i="6"/>
  <c r="F92" i="6"/>
  <c r="F19" i="6"/>
  <c r="F99" i="6"/>
  <c r="F20" i="6"/>
  <c r="F24" i="6"/>
  <c r="F25" i="6"/>
  <c r="V105" i="6"/>
  <c r="V12" i="6"/>
  <c r="V94" i="6"/>
  <c r="V14" i="6"/>
  <c r="V92" i="6"/>
  <c r="V104" i="6"/>
  <c r="V24" i="6"/>
  <c r="V25" i="6"/>
  <c r="E25" i="6"/>
  <c r="H18" i="5"/>
  <c r="H104" i="5"/>
  <c r="H105" i="5" s="1"/>
  <c r="H106" i="5" s="1"/>
  <c r="H105" i="8" s="1"/>
  <c r="X104" i="5"/>
  <c r="X105" i="5" s="1"/>
  <c r="I5" i="5"/>
  <c r="Z5" i="5"/>
  <c r="X12" i="5"/>
  <c r="AB18" i="5"/>
  <c r="J24" i="5"/>
  <c r="J25" i="5" s="1"/>
  <c r="J26" i="5" s="1"/>
  <c r="J25" i="8" s="1"/>
  <c r="AH24" i="5"/>
  <c r="AH26" i="5" s="1"/>
  <c r="AH25" i="8" s="1"/>
  <c r="E90" i="5"/>
  <c r="G92" i="5"/>
  <c r="AA92" i="5"/>
  <c r="G104" i="6"/>
  <c r="G14" i="6"/>
  <c r="G105" i="6"/>
  <c r="G100" i="6"/>
  <c r="G92" i="6"/>
  <c r="G19" i="6"/>
  <c r="G99" i="6"/>
  <c r="G20" i="6"/>
  <c r="G24" i="6"/>
  <c r="G25" i="6"/>
  <c r="G94" i="6"/>
  <c r="G12" i="6"/>
  <c r="W104" i="6"/>
  <c r="W94" i="6"/>
  <c r="W14" i="6"/>
  <c r="W92" i="6"/>
  <c r="W105" i="6"/>
  <c r="W24" i="6"/>
  <c r="W25" i="6"/>
  <c r="W12" i="6"/>
  <c r="U25" i="6"/>
  <c r="I104" i="5"/>
  <c r="I105" i="5" s="1"/>
  <c r="Y104" i="5"/>
  <c r="Y12" i="5"/>
  <c r="O24" i="5"/>
  <c r="O25" i="5" s="1"/>
  <c r="H92" i="5"/>
  <c r="AB92" i="5"/>
  <c r="R97" i="5"/>
  <c r="R98" i="5" s="1"/>
  <c r="R105" i="5"/>
  <c r="R106" i="5" s="1"/>
  <c r="R105" i="8" s="1"/>
  <c r="J104" i="5"/>
  <c r="J105" i="5" s="1"/>
  <c r="Z104" i="5"/>
  <c r="Z105" i="5" s="1"/>
  <c r="K5" i="5"/>
  <c r="AH10" i="5"/>
  <c r="H12" i="5"/>
  <c r="Z12" i="5"/>
  <c r="G90" i="5"/>
  <c r="I92" i="5"/>
  <c r="AC92" i="5"/>
  <c r="AB98" i="5"/>
  <c r="K24" i="5"/>
  <c r="K25" i="5" s="1"/>
  <c r="K104" i="5"/>
  <c r="K105" i="5" s="1"/>
  <c r="AA24" i="5"/>
  <c r="AA25" i="5" s="1"/>
  <c r="AA104" i="5"/>
  <c r="AA105" i="5"/>
  <c r="AA106" i="5" s="1"/>
  <c r="AA105" i="8" s="1"/>
  <c r="I12" i="5"/>
  <c r="AA12" i="5"/>
  <c r="AE18" i="5"/>
  <c r="J92" i="5"/>
  <c r="T105" i="5"/>
  <c r="T106" i="5" s="1"/>
  <c r="T105" i="8" s="1"/>
  <c r="E112" i="4"/>
  <c r="E104" i="8" s="1"/>
  <c r="U112" i="4"/>
  <c r="U104" i="8" s="1"/>
  <c r="L24" i="5"/>
  <c r="L104" i="5"/>
  <c r="AB24" i="5"/>
  <c r="AB104" i="5"/>
  <c r="AB105" i="5" s="1"/>
  <c r="AB106" i="5" s="1"/>
  <c r="J12" i="5"/>
  <c r="AB12" i="5"/>
  <c r="R24" i="5"/>
  <c r="R25" i="5" s="1"/>
  <c r="K92" i="5"/>
  <c r="AE92" i="5"/>
  <c r="E111" i="4"/>
  <c r="E103" i="8" s="1"/>
  <c r="U111" i="4"/>
  <c r="U103" i="8" s="1"/>
  <c r="M24" i="5"/>
  <c r="M25" i="5" s="1"/>
  <c r="M104" i="5"/>
  <c r="M105" i="5" s="1"/>
  <c r="AC24" i="5"/>
  <c r="AC25" i="5" s="1"/>
  <c r="AC104" i="5"/>
  <c r="AC105" i="5" s="1"/>
  <c r="AC5" i="5"/>
  <c r="K12" i="5"/>
  <c r="AC12" i="5"/>
  <c r="X17" i="5"/>
  <c r="X18" i="5" s="1"/>
  <c r="L92" i="5"/>
  <c r="Z97" i="5"/>
  <c r="Z98" i="5" s="1"/>
  <c r="AH105" i="5"/>
  <c r="AH106" i="5" s="1"/>
  <c r="AH105" i="8" s="1"/>
  <c r="V5" i="6"/>
  <c r="AH5" i="5"/>
  <c r="L12" i="5"/>
  <c r="Y17" i="5"/>
  <c r="Y18" i="5" s="1"/>
  <c r="T24" i="5"/>
  <c r="T25" i="5" s="1"/>
  <c r="T26" i="5" s="1"/>
  <c r="T25" i="8" s="1"/>
  <c r="M92" i="5"/>
  <c r="AA97" i="5"/>
  <c r="AA98" i="5" s="1"/>
  <c r="D104" i="5"/>
  <c r="D105" i="5" s="1"/>
  <c r="D106" i="5" s="1"/>
  <c r="D105" i="8" s="1"/>
  <c r="W5" i="6"/>
  <c r="S105" i="6"/>
  <c r="S24" i="6"/>
  <c r="O92" i="6"/>
  <c r="AG92" i="6"/>
  <c r="Y94" i="6"/>
  <c r="P104" i="6"/>
  <c r="M105" i="6"/>
  <c r="I94" i="6"/>
  <c r="AA94" i="6"/>
  <c r="S104" i="6"/>
  <c r="O105" i="6"/>
  <c r="H16" i="7"/>
  <c r="H34" i="4" s="1"/>
  <c r="J94" i="6"/>
  <c r="AB94" i="6"/>
  <c r="H25" i="6"/>
  <c r="S92" i="6"/>
  <c r="K94" i="6"/>
  <c r="AC94" i="6"/>
  <c r="Y104" i="6"/>
  <c r="Q105" i="6"/>
  <c r="H96" i="7"/>
  <c r="H114" i="4" s="1"/>
  <c r="H5" i="7"/>
  <c r="X96" i="7"/>
  <c r="X114" i="4" s="1"/>
  <c r="X5" i="7"/>
  <c r="H104" i="6"/>
  <c r="H105" i="6"/>
  <c r="I5" i="6"/>
  <c r="Y5" i="6"/>
  <c r="L12" i="6"/>
  <c r="AB12" i="6"/>
  <c r="N14" i="6"/>
  <c r="AD14" i="6"/>
  <c r="H24" i="6"/>
  <c r="I25" i="6"/>
  <c r="Y25" i="6"/>
  <c r="L94" i="6"/>
  <c r="AE94" i="6"/>
  <c r="AA104" i="6"/>
  <c r="R105" i="6"/>
  <c r="I105" i="6"/>
  <c r="Y105" i="6"/>
  <c r="M12" i="6"/>
  <c r="AC12" i="6"/>
  <c r="I24" i="6"/>
  <c r="Y24" i="6"/>
  <c r="J25" i="6"/>
  <c r="Z25" i="6"/>
  <c r="M94" i="6"/>
  <c r="AG94" i="6"/>
  <c r="AB104" i="6"/>
  <c r="N5" i="8"/>
  <c r="N21" i="8"/>
  <c r="N23" i="8"/>
  <c r="AD104" i="8"/>
  <c r="AD27" i="8"/>
  <c r="AD21" i="8"/>
  <c r="AD5" i="8"/>
  <c r="AD23" i="8"/>
  <c r="AD24" i="8"/>
  <c r="Z104" i="6"/>
  <c r="K5" i="6"/>
  <c r="AA5" i="6"/>
  <c r="N12" i="6"/>
  <c r="AD12" i="6"/>
  <c r="J24" i="6"/>
  <c r="Z24" i="6"/>
  <c r="K25" i="6"/>
  <c r="AA25" i="6"/>
  <c r="O94" i="6"/>
  <c r="AH94" i="6"/>
  <c r="AC104" i="6"/>
  <c r="K5" i="7"/>
  <c r="K16" i="7"/>
  <c r="K34" i="4" s="1"/>
  <c r="AA5" i="7"/>
  <c r="AA16" i="7"/>
  <c r="AA34" i="4" s="1"/>
  <c r="AA91" i="7"/>
  <c r="AA92" i="7" s="1"/>
  <c r="K105" i="6"/>
  <c r="AA105" i="6"/>
  <c r="L5" i="6"/>
  <c r="AB5" i="6"/>
  <c r="K24" i="6"/>
  <c r="AA24" i="6"/>
  <c r="L25" i="6"/>
  <c r="AB25" i="6"/>
  <c r="Q94" i="6"/>
  <c r="AD104" i="6"/>
  <c r="Z105" i="6"/>
  <c r="AB92" i="6"/>
  <c r="M5" i="6"/>
  <c r="AC5" i="6"/>
  <c r="L24" i="6"/>
  <c r="AB24" i="6"/>
  <c r="M25" i="6"/>
  <c r="X92" i="6"/>
  <c r="R94" i="6"/>
  <c r="AE104" i="6"/>
  <c r="AB105" i="6"/>
  <c r="M5" i="7"/>
  <c r="M16" i="7"/>
  <c r="M34" i="4" s="1"/>
  <c r="M96" i="7"/>
  <c r="M114" i="4" s="1"/>
  <c r="AC5" i="7"/>
  <c r="AC16" i="7"/>
  <c r="AC34" i="4" s="1"/>
  <c r="AC91" i="7"/>
  <c r="AC92" i="7"/>
  <c r="AC96" i="7"/>
  <c r="AC114" i="4" s="1"/>
  <c r="N5" i="6"/>
  <c r="AD5" i="6"/>
  <c r="S14" i="6"/>
  <c r="M24" i="6"/>
  <c r="AC24" i="6"/>
  <c r="Y92" i="6"/>
  <c r="S94" i="6"/>
  <c r="I104" i="6"/>
  <c r="AF104" i="6"/>
  <c r="AC105" i="6"/>
  <c r="N16" i="7"/>
  <c r="N34" i="4" s="1"/>
  <c r="N96" i="7"/>
  <c r="N114" i="4" s="1"/>
  <c r="AD16" i="7"/>
  <c r="AD34" i="4" s="1"/>
  <c r="AD91" i="7"/>
  <c r="AD96" i="7"/>
  <c r="AD114" i="4" s="1"/>
  <c r="N92" i="6"/>
  <c r="N94" i="6"/>
  <c r="AD92" i="6"/>
  <c r="AD94" i="6"/>
  <c r="N24" i="6"/>
  <c r="AD24" i="6"/>
  <c r="H92" i="6"/>
  <c r="Z92" i="6"/>
  <c r="K104" i="6"/>
  <c r="AG104" i="6"/>
  <c r="AD105" i="6"/>
  <c r="O16" i="7"/>
  <c r="O34" i="4" s="1"/>
  <c r="O96" i="7"/>
  <c r="O114" i="4" s="1"/>
  <c r="AE16" i="7"/>
  <c r="AE34" i="4" s="1"/>
  <c r="AE91" i="7"/>
  <c r="AE96" i="7"/>
  <c r="AE114" i="4" s="1"/>
  <c r="AH12" i="7"/>
  <c r="X16" i="7"/>
  <c r="X34" i="4" s="1"/>
  <c r="K96" i="7"/>
  <c r="K114" i="4" s="1"/>
  <c r="AD90" i="5"/>
  <c r="S12" i="6"/>
  <c r="O24" i="6"/>
  <c r="AE24" i="6"/>
  <c r="P25" i="6"/>
  <c r="I92" i="6"/>
  <c r="AA92" i="6"/>
  <c r="L104" i="6"/>
  <c r="AE105" i="6"/>
  <c r="P96" i="7"/>
  <c r="P114" i="4" s="1"/>
  <c r="AF96" i="7"/>
  <c r="AF114" i="4" s="1"/>
  <c r="P94" i="6"/>
  <c r="AF94" i="6"/>
  <c r="Q5" i="6"/>
  <c r="AG5" i="6"/>
  <c r="P24" i="6"/>
  <c r="AF24" i="6"/>
  <c r="Q25" i="6"/>
  <c r="J92" i="6"/>
  <c r="AC92" i="6"/>
  <c r="M104" i="6"/>
  <c r="AF105" i="6"/>
  <c r="Q16" i="7"/>
  <c r="Q34" i="4" s="1"/>
  <c r="Q96" i="7"/>
  <c r="Q114" i="4" s="1"/>
  <c r="AG16" i="7"/>
  <c r="AG34" i="4" s="1"/>
  <c r="AG91" i="7"/>
  <c r="AG92" i="7" s="1"/>
  <c r="AG96" i="7"/>
  <c r="AG114" i="4" s="1"/>
  <c r="AF16" i="7"/>
  <c r="AF34" i="4" s="1"/>
  <c r="AD25" i="5"/>
  <c r="AD26" i="5" s="1"/>
  <c r="AD25" i="8" s="1"/>
  <c r="N104" i="5"/>
  <c r="N105" i="5" s="1"/>
  <c r="AD104" i="5"/>
  <c r="AD105" i="5" s="1"/>
  <c r="Q24" i="6"/>
  <c r="AG24" i="6"/>
  <c r="R25" i="6"/>
  <c r="K92" i="6"/>
  <c r="AE92" i="6"/>
  <c r="N104" i="6"/>
  <c r="J105" i="6"/>
  <c r="AG105" i="6"/>
  <c r="R96" i="7"/>
  <c r="R114" i="4" s="1"/>
  <c r="AH91" i="7"/>
  <c r="AH92" i="7" s="1"/>
  <c r="AH96" i="7"/>
  <c r="AH114" i="4" s="1"/>
  <c r="AH16" i="7"/>
  <c r="AH34" i="4" s="1"/>
  <c r="N24" i="5"/>
  <c r="N25" i="5" s="1"/>
  <c r="AD24" i="5"/>
  <c r="R104" i="6"/>
  <c r="AH104" i="6"/>
  <c r="S5" i="6"/>
  <c r="H14" i="6"/>
  <c r="X14" i="6"/>
  <c r="R24" i="6"/>
  <c r="AH24" i="6"/>
  <c r="S25" i="6"/>
  <c r="M92" i="6"/>
  <c r="AF92" i="6"/>
  <c r="X94" i="6"/>
  <c r="O104" i="6"/>
  <c r="L105" i="6"/>
  <c r="AH105" i="6"/>
  <c r="S96" i="7"/>
  <c r="S114" i="4" s="1"/>
  <c r="AD5" i="7"/>
  <c r="AA96" i="7"/>
  <c r="AA114" i="4" s="1"/>
  <c r="AC103" i="8"/>
  <c r="AC101" i="8"/>
  <c r="AC107" i="8"/>
  <c r="M24" i="8"/>
  <c r="O103" i="8"/>
  <c r="O101" i="8"/>
  <c r="O21" i="8"/>
  <c r="AE105" i="8"/>
  <c r="AE103" i="8"/>
  <c r="AE104" i="8"/>
  <c r="AE101" i="8"/>
  <c r="AE21" i="8"/>
  <c r="AG27" i="8"/>
  <c r="AF104" i="8"/>
  <c r="AF21" i="8"/>
  <c r="AF23" i="8"/>
  <c r="AH27" i="8"/>
  <c r="Q103" i="8"/>
  <c r="Q101" i="8"/>
  <c r="AG107" i="8"/>
  <c r="AG103" i="8"/>
  <c r="AG104" i="8"/>
  <c r="AG101" i="8"/>
  <c r="AG23" i="8"/>
  <c r="AG24" i="8"/>
  <c r="R21" i="8"/>
  <c r="AH141" i="8"/>
  <c r="AH107" i="8"/>
  <c r="AH103" i="8"/>
  <c r="AH104" i="8"/>
  <c r="AH112" i="8"/>
  <c r="AH101" i="8"/>
  <c r="AH21" i="8"/>
  <c r="AH23" i="8"/>
  <c r="AH24" i="8"/>
  <c r="AH61" i="8"/>
  <c r="AH32" i="8"/>
  <c r="S23" i="8"/>
  <c r="E5" i="7"/>
  <c r="U5" i="7"/>
  <c r="I16" i="7"/>
  <c r="I34" i="4" s="1"/>
  <c r="Y16" i="7"/>
  <c r="Y34" i="4" s="1"/>
  <c r="D120" i="8"/>
  <c r="D113" i="8"/>
  <c r="D119" i="8"/>
  <c r="D39" i="8"/>
  <c r="D40" i="8"/>
  <c r="T23" i="8"/>
  <c r="E5" i="8"/>
  <c r="Z23" i="8"/>
  <c r="AC24" i="8"/>
  <c r="AB91" i="7"/>
  <c r="AB107" i="8" s="1"/>
  <c r="E101" i="8"/>
  <c r="E24" i="8"/>
  <c r="U23" i="8"/>
  <c r="AA23" i="8"/>
  <c r="G5" i="7"/>
  <c r="W5" i="7"/>
  <c r="V23" i="8"/>
  <c r="AB23" i="8"/>
  <c r="AE24" i="8"/>
  <c r="L16" i="7"/>
  <c r="L34" i="4" s="1"/>
  <c r="AB16" i="7"/>
  <c r="AB34" i="4" s="1"/>
  <c r="G104" i="8"/>
  <c r="W104" i="8"/>
  <c r="Z21" i="8"/>
  <c r="AC23" i="8"/>
  <c r="AF24" i="8"/>
  <c r="T96" i="7"/>
  <c r="T114" i="4" s="1"/>
  <c r="H5" i="8"/>
  <c r="X5" i="8"/>
  <c r="AC5" i="8"/>
  <c r="AA21" i="8"/>
  <c r="I11" i="7"/>
  <c r="I12" i="7" s="1"/>
  <c r="Y11" i="7"/>
  <c r="Y12" i="7" s="1"/>
  <c r="U96" i="7"/>
  <c r="U114" i="4" s="1"/>
  <c r="AB21" i="8"/>
  <c r="AE23" i="8"/>
  <c r="Z11" i="7"/>
  <c r="Z12" i="7" s="1"/>
  <c r="V96" i="7"/>
  <c r="V114" i="4" s="1"/>
  <c r="J101" i="8"/>
  <c r="J5" i="8"/>
  <c r="Z101" i="8"/>
  <c r="Z25" i="8"/>
  <c r="Z5" i="8"/>
  <c r="Z104" i="8"/>
  <c r="M5" i="8"/>
  <c r="AE5" i="8"/>
  <c r="AC21" i="8"/>
  <c r="W96" i="7"/>
  <c r="W114" i="4" s="1"/>
  <c r="AA101" i="8"/>
  <c r="AA103" i="8"/>
  <c r="AA104" i="8"/>
  <c r="AA27" i="8"/>
  <c r="AF5" i="8"/>
  <c r="AB104" i="8"/>
  <c r="AB101" i="8"/>
  <c r="AB105" i="8"/>
  <c r="AB103" i="8"/>
  <c r="AB27" i="8"/>
  <c r="O5" i="8"/>
  <c r="AG5" i="8"/>
  <c r="Y101" i="8"/>
  <c r="Y103" i="8"/>
  <c r="Y104" i="8"/>
  <c r="Y24" i="8"/>
  <c r="AC10" i="5" l="1"/>
  <c r="AF26" i="5"/>
  <c r="AF25" i="8" s="1"/>
  <c r="AF103" i="3"/>
  <c r="AF91" i="5" s="1"/>
  <c r="AF93" i="5" s="1"/>
  <c r="AF91" i="6" s="1"/>
  <c r="AF25" i="5"/>
  <c r="AA107" i="8"/>
  <c r="Y102" i="3"/>
  <c r="AF97" i="5"/>
  <c r="AF98" i="5" s="1"/>
  <c r="AG21" i="8"/>
  <c r="AH97" i="5"/>
  <c r="AH98" i="5" s="1"/>
  <c r="Z14" i="5"/>
  <c r="AF10" i="5"/>
  <c r="AH90" i="5"/>
  <c r="Z106" i="5"/>
  <c r="Z105" i="8" s="1"/>
  <c r="AF105" i="5"/>
  <c r="AF106" i="5" s="1"/>
  <c r="AF105" i="8" s="1"/>
  <c r="AF91" i="7"/>
  <c r="Y22" i="3"/>
  <c r="AD106" i="3"/>
  <c r="AD94" i="5" s="1"/>
  <c r="AA26" i="5"/>
  <c r="AA25" i="8" s="1"/>
  <c r="AH94" i="5"/>
  <c r="AF101" i="8"/>
  <c r="AB92" i="7"/>
  <c r="Y94" i="5"/>
  <c r="AF94" i="5"/>
  <c r="AE27" i="8"/>
  <c r="AE12" i="7"/>
  <c r="AF14" i="5"/>
  <c r="AD14" i="5"/>
  <c r="AG17" i="5"/>
  <c r="AG18" i="5" s="1"/>
  <c r="AG26" i="3"/>
  <c r="Y91" i="7"/>
  <c r="AA17" i="5"/>
  <c r="AA18" i="5" s="1"/>
  <c r="AA26" i="3"/>
  <c r="E21" i="8"/>
  <c r="AC14" i="5"/>
  <c r="AG25" i="5"/>
  <c r="AG26" i="5" s="1"/>
  <c r="AG25" i="8" s="1"/>
  <c r="Y109" i="3"/>
  <c r="AF12" i="7"/>
  <c r="AF27" i="8"/>
  <c r="AD106" i="5"/>
  <c r="AD105" i="8" s="1"/>
  <c r="Z27" i="8"/>
  <c r="AC94" i="5"/>
  <c r="AH14" i="5"/>
  <c r="Y105" i="5"/>
  <c r="Y106" i="5" s="1"/>
  <c r="Y105" i="8" s="1"/>
  <c r="AE10" i="5"/>
  <c r="Z94" i="5"/>
  <c r="Y27" i="8"/>
  <c r="AE92" i="7"/>
  <c r="AE107" i="8"/>
  <c r="AD92" i="7"/>
  <c r="AD107" i="8"/>
  <c r="Y29" i="3"/>
  <c r="AE94" i="5"/>
  <c r="AE107" i="3"/>
  <c r="AB94" i="5"/>
  <c r="AB22" i="3"/>
  <c r="AE102" i="3"/>
  <c r="AC22" i="3"/>
  <c r="AD22" i="3"/>
  <c r="Z91" i="7"/>
  <c r="AC97" i="5"/>
  <c r="AC98" i="5" s="1"/>
  <c r="AA90" i="5"/>
  <c r="AF102" i="3"/>
  <c r="AB102" i="3"/>
  <c r="Z102" i="3"/>
  <c r="AE29" i="4"/>
  <c r="Z22" i="3"/>
  <c r="AC11" i="7"/>
  <c r="AC106" i="5"/>
  <c r="AC105" i="8" s="1"/>
  <c r="AB25" i="5"/>
  <c r="AB26" i="5" s="1"/>
  <c r="AB25" i="8" s="1"/>
  <c r="AH102" i="3"/>
  <c r="AC17" i="5"/>
  <c r="AC18" i="5" s="1"/>
  <c r="AA22" i="3"/>
  <c r="AC26" i="5"/>
  <c r="AC25" i="8" s="1"/>
  <c r="Y97" i="5"/>
  <c r="Y98" i="5" s="1"/>
  <c r="AA102" i="3"/>
  <c r="AB90" i="5"/>
  <c r="AH22" i="3"/>
  <c r="AG102" i="3"/>
  <c r="AF22" i="3"/>
  <c r="AE22" i="3"/>
  <c r="Y90" i="5"/>
  <c r="AE26" i="5"/>
  <c r="AE25" i="8" s="1"/>
  <c r="AD102" i="3"/>
  <c r="AG106" i="3"/>
  <c r="AG22" i="3"/>
  <c r="AC102" i="3"/>
  <c r="S106" i="3"/>
  <c r="S94" i="5" s="1"/>
  <c r="I107" i="8"/>
  <c r="F107" i="8"/>
  <c r="T92" i="7"/>
  <c r="D107" i="8"/>
  <c r="K106" i="3"/>
  <c r="D21" i="9" s="1"/>
  <c r="G107" i="8"/>
  <c r="R17" i="5"/>
  <c r="R18" i="5" s="1"/>
  <c r="L26" i="3"/>
  <c r="L14" i="5" s="1"/>
  <c r="I17" i="5"/>
  <c r="I18" i="5" s="1"/>
  <c r="F26" i="3"/>
  <c r="F14" i="5" s="1"/>
  <c r="S27" i="8"/>
  <c r="O27" i="8"/>
  <c r="V97" i="5"/>
  <c r="V98" i="5" s="1"/>
  <c r="D26" i="3"/>
  <c r="D14" i="5" s="1"/>
  <c r="W17" i="5"/>
  <c r="W18" i="5" s="1"/>
  <c r="T17" i="5"/>
  <c r="T18" i="5" s="1"/>
  <c r="G17" i="5"/>
  <c r="G18" i="5" s="1"/>
  <c r="D10" i="5"/>
  <c r="N27" i="8"/>
  <c r="N12" i="7"/>
  <c r="L12" i="7"/>
  <c r="L27" i="8"/>
  <c r="J107" i="8"/>
  <c r="W107" i="8"/>
  <c r="L97" i="5"/>
  <c r="L98" i="5" s="1"/>
  <c r="T106" i="3"/>
  <c r="T94" i="5" s="1"/>
  <c r="P27" i="8"/>
  <c r="O97" i="5"/>
  <c r="O98" i="5" s="1"/>
  <c r="E26" i="3"/>
  <c r="E14" i="5" s="1"/>
  <c r="G97" i="5"/>
  <c r="G98" i="5" s="1"/>
  <c r="R107" i="8"/>
  <c r="V107" i="8"/>
  <c r="H27" i="8"/>
  <c r="F106" i="3"/>
  <c r="F94" i="5" s="1"/>
  <c r="P107" i="8"/>
  <c r="X12" i="7"/>
  <c r="X27" i="8"/>
  <c r="I27" i="8"/>
  <c r="F22" i="3"/>
  <c r="F29" i="3" s="1"/>
  <c r="K106" i="5"/>
  <c r="K105" i="8" s="1"/>
  <c r="V105" i="5"/>
  <c r="V106" i="5" s="1"/>
  <c r="V105" i="8" s="1"/>
  <c r="M27" i="8"/>
  <c r="Q27" i="8"/>
  <c r="J97" i="5"/>
  <c r="J98" i="5" s="1"/>
  <c r="E97" i="5"/>
  <c r="E98" i="5" s="1"/>
  <c r="O17" i="5"/>
  <c r="O18" i="5" s="1"/>
  <c r="W97" i="5"/>
  <c r="W98" i="5" s="1"/>
  <c r="Q26" i="3"/>
  <c r="Q14" i="5" s="1"/>
  <c r="P17" i="5"/>
  <c r="P18" i="5" s="1"/>
  <c r="I97" i="5"/>
  <c r="I98" i="5" s="1"/>
  <c r="M97" i="5"/>
  <c r="M98" i="5" s="1"/>
  <c r="H97" i="5"/>
  <c r="H98" i="5" s="1"/>
  <c r="N26" i="3"/>
  <c r="N14" i="5" s="1"/>
  <c r="H107" i="8"/>
  <c r="K107" i="8"/>
  <c r="R27" i="8"/>
  <c r="U107" i="8"/>
  <c r="S92" i="7"/>
  <c r="J27" i="8"/>
  <c r="O107" i="8"/>
  <c r="O106" i="5"/>
  <c r="O105" i="8" s="1"/>
  <c r="X107" i="8"/>
  <c r="N92" i="7"/>
  <c r="B19" i="9"/>
  <c r="E12" i="7"/>
  <c r="E27" i="8"/>
  <c r="Q92" i="7"/>
  <c r="Q107" i="8"/>
  <c r="G26" i="5"/>
  <c r="G25" i="8" s="1"/>
  <c r="K27" i="8"/>
  <c r="G27" i="8"/>
  <c r="E107" i="8"/>
  <c r="N26" i="5"/>
  <c r="N25" i="8" s="1"/>
  <c r="G106" i="5"/>
  <c r="G105" i="8" s="1"/>
  <c r="W25" i="5"/>
  <c r="W26" i="5" s="1"/>
  <c r="W25" i="8" s="1"/>
  <c r="W27" i="8"/>
  <c r="I25" i="5"/>
  <c r="I26" i="5" s="1"/>
  <c r="I25" i="8" s="1"/>
  <c r="M106" i="5"/>
  <c r="M105" i="8" s="1"/>
  <c r="E106" i="5"/>
  <c r="E105" i="8" s="1"/>
  <c r="M26" i="5"/>
  <c r="M25" i="8" s="1"/>
  <c r="H26" i="5"/>
  <c r="H25" i="8" s="1"/>
  <c r="Q25" i="5"/>
  <c r="Q26" i="5" s="1"/>
  <c r="Q25" i="8" s="1"/>
  <c r="F12" i="7"/>
  <c r="F27" i="8"/>
  <c r="D19" i="9"/>
  <c r="H102" i="3"/>
  <c r="H109" i="3" s="1"/>
  <c r="L102" i="3"/>
  <c r="L109" i="3" s="1"/>
  <c r="K102" i="3"/>
  <c r="K109" i="3" s="1"/>
  <c r="J102" i="3"/>
  <c r="J109" i="3" s="1"/>
  <c r="I102" i="3"/>
  <c r="I109" i="3" s="1"/>
  <c r="X102" i="3"/>
  <c r="X109" i="3" s="1"/>
  <c r="O102" i="3"/>
  <c r="O109" i="3" s="1"/>
  <c r="S102" i="3"/>
  <c r="S109" i="3" s="1"/>
  <c r="P102" i="3"/>
  <c r="P109" i="3" s="1"/>
  <c r="D90" i="5"/>
  <c r="T102" i="3"/>
  <c r="T109" i="3" s="1"/>
  <c r="R102" i="3"/>
  <c r="R109" i="3" s="1"/>
  <c r="D102" i="3"/>
  <c r="D109" i="3" s="1"/>
  <c r="U102" i="3"/>
  <c r="U109" i="3" s="1"/>
  <c r="E102" i="3"/>
  <c r="E109" i="3" s="1"/>
  <c r="V102" i="3"/>
  <c r="V109" i="3" s="1"/>
  <c r="Q102" i="3"/>
  <c r="Q109" i="3" s="1"/>
  <c r="N102" i="3"/>
  <c r="N109" i="3" s="1"/>
  <c r="G102" i="3"/>
  <c r="G109" i="3" s="1"/>
  <c r="F102" i="3"/>
  <c r="F109" i="3" s="1"/>
  <c r="M102" i="3"/>
  <c r="M109" i="3" s="1"/>
  <c r="W102" i="3"/>
  <c r="W109" i="3" s="1"/>
  <c r="L105" i="5"/>
  <c r="L106" i="5" s="1"/>
  <c r="L105" i="8" s="1"/>
  <c r="L107" i="8"/>
  <c r="M26" i="3"/>
  <c r="M14" i="5" s="1"/>
  <c r="M17" i="5"/>
  <c r="M18" i="5" s="1"/>
  <c r="T12" i="7"/>
  <c r="T27" i="8"/>
  <c r="M92" i="7"/>
  <c r="M107" i="8"/>
  <c r="V27" i="8"/>
  <c r="U27" i="8"/>
  <c r="F25" i="5"/>
  <c r="F26" i="5" s="1"/>
  <c r="F25" i="8" s="1"/>
  <c r="D12" i="7"/>
  <c r="X25" i="5"/>
  <c r="X26" i="5" s="1"/>
  <c r="B13" i="4"/>
  <c r="B14" i="4" s="1"/>
  <c r="AC29" i="4" s="1"/>
  <c r="N106" i="5"/>
  <c r="N105" i="8" s="1"/>
  <c r="I106" i="5"/>
  <c r="I105" i="8" s="1"/>
  <c r="L25" i="5"/>
  <c r="L26" i="5" s="1"/>
  <c r="L25" i="8" s="1"/>
  <c r="V22" i="3"/>
  <c r="V29" i="3" s="1"/>
  <c r="D62" i="10"/>
  <c r="S22" i="3"/>
  <c r="S29" i="3" s="1"/>
  <c r="R22" i="3"/>
  <c r="R29" i="3" s="1"/>
  <c r="O22" i="3"/>
  <c r="O29" i="3" s="1"/>
  <c r="S90" i="5"/>
  <c r="Q22" i="3"/>
  <c r="Q29" i="3" s="1"/>
  <c r="B93" i="4"/>
  <c r="B94" i="4" s="1"/>
  <c r="Z109" i="4" s="1"/>
  <c r="V10" i="5"/>
  <c r="E22" i="3"/>
  <c r="E29" i="3" s="1"/>
  <c r="N22" i="3"/>
  <c r="N29" i="3" s="1"/>
  <c r="J22" i="3"/>
  <c r="J29" i="3" s="1"/>
  <c r="I22" i="3"/>
  <c r="I29" i="3" s="1"/>
  <c r="P26" i="5"/>
  <c r="P25" i="8" s="1"/>
  <c r="J21" i="8"/>
  <c r="J106" i="5"/>
  <c r="J105" i="8" s="1"/>
  <c r="X106" i="5"/>
  <c r="G8" i="10"/>
  <c r="B9" i="3"/>
  <c r="Y23" i="3" s="1"/>
  <c r="Y11" i="5" s="1"/>
  <c r="Y13" i="5" s="1"/>
  <c r="B10" i="3"/>
  <c r="AC107" i="3" s="1"/>
  <c r="P22" i="3"/>
  <c r="P29" i="3" s="1"/>
  <c r="R26" i="5"/>
  <c r="R25" i="8" s="1"/>
  <c r="O26" i="5"/>
  <c r="O25" i="8" s="1"/>
  <c r="X22" i="3"/>
  <c r="X29" i="3" s="1"/>
  <c r="J17" i="5"/>
  <c r="J18" i="5" s="1"/>
  <c r="J26" i="3"/>
  <c r="J14" i="5" s="1"/>
  <c r="P106" i="3"/>
  <c r="P94" i="5" s="1"/>
  <c r="H22" i="3"/>
  <c r="H29" i="3" s="1"/>
  <c r="L22" i="3"/>
  <c r="L29" i="3" s="1"/>
  <c r="E10" i="5"/>
  <c r="K22" i="3"/>
  <c r="K29" i="3" s="1"/>
  <c r="T22" i="3"/>
  <c r="T29" i="3" s="1"/>
  <c r="B86" i="7"/>
  <c r="B87" i="7" s="1"/>
  <c r="K26" i="5"/>
  <c r="K25" i="8" s="1"/>
  <c r="F106" i="5"/>
  <c r="F105" i="8" s="1"/>
  <c r="G22" i="3"/>
  <c r="G29" i="3" s="1"/>
  <c r="M22" i="3"/>
  <c r="M29" i="3" s="1"/>
  <c r="W22" i="3"/>
  <c r="W29" i="3" s="1"/>
  <c r="U22" i="3"/>
  <c r="U29" i="3" s="1"/>
  <c r="F10" i="5"/>
  <c r="N106" i="3"/>
  <c r="N94" i="5" s="1"/>
  <c r="B21" i="9" l="1"/>
  <c r="K94" i="5"/>
  <c r="X25" i="8"/>
  <c r="X105" i="8"/>
  <c r="Z102" i="8"/>
  <c r="Z110" i="4"/>
  <c r="Z113" i="4" s="1"/>
  <c r="Z115" i="4" s="1"/>
  <c r="AC22" i="8"/>
  <c r="AC30" i="4"/>
  <c r="AC33" i="4" s="1"/>
  <c r="AC35" i="4" s="1"/>
  <c r="AE23" i="3"/>
  <c r="AE11" i="5" s="1"/>
  <c r="AE13" i="5" s="1"/>
  <c r="B148" i="10" s="1"/>
  <c r="AF27" i="3"/>
  <c r="Y29" i="4"/>
  <c r="AA103" i="3"/>
  <c r="AA91" i="5" s="1"/>
  <c r="AA93" i="5" s="1"/>
  <c r="Z27" i="3"/>
  <c r="Y24" i="3"/>
  <c r="AC27" i="3"/>
  <c r="AB23" i="3"/>
  <c r="AB11" i="5" s="1"/>
  <c r="AB13" i="5" s="1"/>
  <c r="Y103" i="3"/>
  <c r="Y91" i="5" s="1"/>
  <c r="Y93" i="5" s="1"/>
  <c r="AF107" i="3"/>
  <c r="AF108" i="3" s="1"/>
  <c r="AF96" i="5" s="1"/>
  <c r="AF99" i="5" s="1"/>
  <c r="AE27" i="3"/>
  <c r="AF28" i="3" s="1"/>
  <c r="AF16" i="5" s="1"/>
  <c r="AF19" i="5" s="1"/>
  <c r="AF109" i="4"/>
  <c r="Y109" i="4"/>
  <c r="AE109" i="4"/>
  <c r="AC103" i="3"/>
  <c r="AC91" i="5" s="1"/>
  <c r="AC93" i="5" s="1"/>
  <c r="AG109" i="4"/>
  <c r="AH27" i="3"/>
  <c r="Y107" i="3"/>
  <c r="AF92" i="7"/>
  <c r="AF107" i="8"/>
  <c r="AB107" i="3"/>
  <c r="AH23" i="3"/>
  <c r="AH11" i="5" s="1"/>
  <c r="AH13" i="5" s="1"/>
  <c r="AF90" i="6"/>
  <c r="AF145" i="8" s="1"/>
  <c r="AD27" i="3"/>
  <c r="R103" i="3"/>
  <c r="R91" i="5" s="1"/>
  <c r="R93" i="5" s="1"/>
  <c r="R91" i="6" s="1"/>
  <c r="Z23" i="3"/>
  <c r="Z11" i="5" s="1"/>
  <c r="Z13" i="5" s="1"/>
  <c r="AA23" i="3"/>
  <c r="AA11" i="5" s="1"/>
  <c r="AA13" i="5" s="1"/>
  <c r="AE103" i="3"/>
  <c r="AE91" i="5" s="1"/>
  <c r="AE93" i="5" s="1"/>
  <c r="AD23" i="3"/>
  <c r="AD11" i="5" s="1"/>
  <c r="AD13" i="5" s="1"/>
  <c r="Z103" i="3"/>
  <c r="Z91" i="5" s="1"/>
  <c r="Z93" i="5" s="1"/>
  <c r="AG103" i="3"/>
  <c r="AG91" i="5" s="1"/>
  <c r="AG93" i="5" s="1"/>
  <c r="Y104" i="3"/>
  <c r="AB103" i="3"/>
  <c r="AB91" i="5" s="1"/>
  <c r="AB93" i="5" s="1"/>
  <c r="AH109" i="4"/>
  <c r="AA109" i="4"/>
  <c r="AC109" i="4"/>
  <c r="AD109" i="4"/>
  <c r="AB109" i="4"/>
  <c r="AB27" i="3"/>
  <c r="AB15" i="5" s="1"/>
  <c r="Y27" i="3"/>
  <c r="Y15" i="5" s="1"/>
  <c r="AA107" i="3"/>
  <c r="AD107" i="3"/>
  <c r="AD95" i="5" s="1"/>
  <c r="AH107" i="3"/>
  <c r="AH95" i="5" s="1"/>
  <c r="AG23" i="3"/>
  <c r="AG11" i="5" s="1"/>
  <c r="AG13" i="5" s="1"/>
  <c r="AD103" i="3"/>
  <c r="AD91" i="5" s="1"/>
  <c r="AD93" i="5" s="1"/>
  <c r="AF23" i="3"/>
  <c r="AF11" i="5" s="1"/>
  <c r="AF13" i="5" s="1"/>
  <c r="AH103" i="3"/>
  <c r="AH91" i="5" s="1"/>
  <c r="AH93" i="5" s="1"/>
  <c r="AD29" i="4"/>
  <c r="AF29" i="4"/>
  <c r="AA29" i="4"/>
  <c r="AB29" i="4"/>
  <c r="Z29" i="4"/>
  <c r="AG29" i="4"/>
  <c r="AH29" i="4"/>
  <c r="D53" i="10"/>
  <c r="Z107" i="3"/>
  <c r="AC23" i="3"/>
  <c r="AC11" i="5" s="1"/>
  <c r="AC13" i="5" s="1"/>
  <c r="AG109" i="3"/>
  <c r="AG104" i="3"/>
  <c r="AC29" i="3"/>
  <c r="AC24" i="3"/>
  <c r="AC93" i="7"/>
  <c r="AC99" i="7"/>
  <c r="AH93" i="7"/>
  <c r="Y93" i="7"/>
  <c r="AA99" i="7"/>
  <c r="AH99" i="7"/>
  <c r="AD93" i="7"/>
  <c r="AE99" i="7"/>
  <c r="AG99" i="7"/>
  <c r="Z93" i="7"/>
  <c r="AB93" i="7"/>
  <c r="AB99" i="7"/>
  <c r="AA93" i="7"/>
  <c r="AE93" i="7"/>
  <c r="AG93" i="7"/>
  <c r="Y99" i="7"/>
  <c r="AD99" i="7"/>
  <c r="AF93" i="7"/>
  <c r="AF99" i="7"/>
  <c r="Z99" i="7"/>
  <c r="AH24" i="3"/>
  <c r="AH29" i="3"/>
  <c r="AE109" i="3"/>
  <c r="AE104" i="3"/>
  <c r="AB108" i="3"/>
  <c r="AB96" i="5" s="1"/>
  <c r="AB99" i="5" s="1"/>
  <c r="AB95" i="5"/>
  <c r="AG14" i="5"/>
  <c r="AG27" i="3"/>
  <c r="B142" i="10"/>
  <c r="Y10" i="6"/>
  <c r="Y65" i="8" s="1"/>
  <c r="Y11" i="6"/>
  <c r="AC104" i="3"/>
  <c r="AC109" i="3"/>
  <c r="AA109" i="3"/>
  <c r="AA104" i="3"/>
  <c r="Z29" i="3"/>
  <c r="Z24" i="3"/>
  <c r="AC90" i="6"/>
  <c r="AC145" i="8" s="1"/>
  <c r="AC91" i="6"/>
  <c r="AE30" i="4"/>
  <c r="AE33" i="4" s="1"/>
  <c r="AE35" i="4" s="1"/>
  <c r="AE22" i="8"/>
  <c r="AH15" i="5"/>
  <c r="AF24" i="3"/>
  <c r="AF29" i="3"/>
  <c r="AG24" i="3"/>
  <c r="AG29" i="3"/>
  <c r="Z109" i="3"/>
  <c r="Z104" i="3"/>
  <c r="Y92" i="7"/>
  <c r="Y107" i="8"/>
  <c r="AF15" i="5"/>
  <c r="AG107" i="3"/>
  <c r="AG94" i="5"/>
  <c r="AD109" i="3"/>
  <c r="AD104" i="3"/>
  <c r="AB104" i="3"/>
  <c r="AB109" i="3"/>
  <c r="AC95" i="5"/>
  <c r="AC108" i="3"/>
  <c r="AC96" i="5" s="1"/>
  <c r="AC99" i="5" s="1"/>
  <c r="AA29" i="3"/>
  <c r="AA24" i="3"/>
  <c r="AD108" i="3"/>
  <c r="AD96" i="5" s="1"/>
  <c r="AD99" i="5" s="1"/>
  <c r="AD100" i="5" s="1"/>
  <c r="AC28" i="3"/>
  <c r="AC16" i="5" s="1"/>
  <c r="AC19" i="5" s="1"/>
  <c r="AC15" i="5"/>
  <c r="AF104" i="3"/>
  <c r="AF109" i="3"/>
  <c r="AB29" i="3"/>
  <c r="AB24" i="3"/>
  <c r="AE95" i="5"/>
  <c r="AC12" i="7"/>
  <c r="AC27" i="8"/>
  <c r="Z95" i="5"/>
  <c r="Z108" i="3"/>
  <c r="Z96" i="5" s="1"/>
  <c r="Z99" i="5" s="1"/>
  <c r="AA27" i="3"/>
  <c r="AA14" i="5"/>
  <c r="Y95" i="5"/>
  <c r="AE11" i="6"/>
  <c r="AE10" i="6"/>
  <c r="AE65" i="8" s="1"/>
  <c r="AH104" i="3"/>
  <c r="AH109" i="3"/>
  <c r="Z92" i="7"/>
  <c r="Z107" i="8"/>
  <c r="AE24" i="3"/>
  <c r="AE29" i="3"/>
  <c r="AD24" i="3"/>
  <c r="AD29" i="3"/>
  <c r="B6" i="7"/>
  <c r="B7" i="7" s="1"/>
  <c r="B20" i="9"/>
  <c r="X23" i="3"/>
  <c r="X11" i="5" s="1"/>
  <c r="X13" i="5" s="1"/>
  <c r="B141" i="10" s="1"/>
  <c r="D50" i="10"/>
  <c r="T29" i="4"/>
  <c r="S29" i="4"/>
  <c r="R29" i="4"/>
  <c r="Q29" i="4"/>
  <c r="P29" i="4"/>
  <c r="K29" i="4"/>
  <c r="L29" i="4"/>
  <c r="B20" i="4"/>
  <c r="W29" i="4"/>
  <c r="X29" i="4"/>
  <c r="D29" i="4"/>
  <c r="I29" i="4"/>
  <c r="J29" i="4"/>
  <c r="H29" i="4"/>
  <c r="B19" i="4"/>
  <c r="M29" i="4"/>
  <c r="N29" i="4"/>
  <c r="V29" i="4"/>
  <c r="F29" i="4"/>
  <c r="O29" i="4"/>
  <c r="U29" i="4"/>
  <c r="G29" i="4"/>
  <c r="E29" i="4"/>
  <c r="L99" i="7"/>
  <c r="G93" i="7"/>
  <c r="F93" i="7"/>
  <c r="B88" i="7"/>
  <c r="E93" i="7"/>
  <c r="K99" i="7"/>
  <c r="X99" i="7"/>
  <c r="H99" i="7"/>
  <c r="V99" i="7"/>
  <c r="P99" i="7"/>
  <c r="T99" i="7"/>
  <c r="S99" i="7"/>
  <c r="Q99" i="7"/>
  <c r="M99" i="7"/>
  <c r="O99" i="7"/>
  <c r="U99" i="7"/>
  <c r="R99" i="7"/>
  <c r="D93" i="7"/>
  <c r="G99" i="7"/>
  <c r="W99" i="7"/>
  <c r="E99" i="7"/>
  <c r="J99" i="7"/>
  <c r="F99" i="7"/>
  <c r="I99" i="7"/>
  <c r="I23" i="3"/>
  <c r="I11" i="5" s="1"/>
  <c r="I13" i="5" s="1"/>
  <c r="N23" i="3"/>
  <c r="N11" i="5" s="1"/>
  <c r="N13" i="5" s="1"/>
  <c r="K103" i="3"/>
  <c r="K91" i="5" s="1"/>
  <c r="K93" i="5" s="1"/>
  <c r="Q103" i="3"/>
  <c r="Q91" i="5" s="1"/>
  <c r="Q93" i="5" s="1"/>
  <c r="E23" i="3"/>
  <c r="E11" i="5" s="1"/>
  <c r="E13" i="5" s="1"/>
  <c r="O23" i="3"/>
  <c r="O11" i="5" s="1"/>
  <c r="O13" i="5" s="1"/>
  <c r="Q23" i="3"/>
  <c r="Q11" i="5" s="1"/>
  <c r="Q13" i="5" s="1"/>
  <c r="U23" i="3"/>
  <c r="U11" i="5" s="1"/>
  <c r="U13" i="5" s="1"/>
  <c r="D38" i="10"/>
  <c r="T23" i="3"/>
  <c r="T11" i="5" s="1"/>
  <c r="T13" i="5" s="1"/>
  <c r="D23" i="3"/>
  <c r="D11" i="5" s="1"/>
  <c r="D13" i="5" s="1"/>
  <c r="N104" i="3"/>
  <c r="M23" i="3"/>
  <c r="M11" i="5" s="1"/>
  <c r="M13" i="5" s="1"/>
  <c r="L103" i="3"/>
  <c r="L91" i="5" s="1"/>
  <c r="L93" i="5" s="1"/>
  <c r="L23" i="3"/>
  <c r="L11" i="5" s="1"/>
  <c r="L13" i="5" s="1"/>
  <c r="P104" i="3"/>
  <c r="Q24" i="3"/>
  <c r="T24" i="3"/>
  <c r="M24" i="3"/>
  <c r="M104" i="3"/>
  <c r="T104" i="3"/>
  <c r="X103" i="3"/>
  <c r="X91" i="5" s="1"/>
  <c r="X93" i="5" s="1"/>
  <c r="G24" i="3"/>
  <c r="J103" i="3"/>
  <c r="J91" i="5" s="1"/>
  <c r="J93" i="5" s="1"/>
  <c r="O104" i="3"/>
  <c r="E103" i="3"/>
  <c r="E91" i="5" s="1"/>
  <c r="E93" i="5" s="1"/>
  <c r="X104" i="3"/>
  <c r="V103" i="3"/>
  <c r="V91" i="5" s="1"/>
  <c r="V93" i="5" s="1"/>
  <c r="D104" i="3"/>
  <c r="H104" i="3"/>
  <c r="G23" i="3"/>
  <c r="G11" i="5" s="1"/>
  <c r="G13" i="5" s="1"/>
  <c r="O24" i="3"/>
  <c r="U104" i="3"/>
  <c r="E104" i="3"/>
  <c r="X24" i="3"/>
  <c r="S104" i="3"/>
  <c r="F24" i="3"/>
  <c r="V104" i="3"/>
  <c r="R24" i="3"/>
  <c r="I104" i="3"/>
  <c r="I24" i="3"/>
  <c r="V24" i="3"/>
  <c r="N24" i="3"/>
  <c r="J24" i="3"/>
  <c r="F103" i="3"/>
  <c r="F91" i="5" s="1"/>
  <c r="F93" i="5" s="1"/>
  <c r="W103" i="3"/>
  <c r="W91" i="5" s="1"/>
  <c r="W93" i="5" s="1"/>
  <c r="P24" i="3"/>
  <c r="U103" i="3"/>
  <c r="U91" i="5" s="1"/>
  <c r="U93" i="5" s="1"/>
  <c r="J104" i="3"/>
  <c r="J23" i="3"/>
  <c r="J11" i="5" s="1"/>
  <c r="J13" i="5" s="1"/>
  <c r="G103" i="3"/>
  <c r="G91" i="5" s="1"/>
  <c r="G93" i="5" s="1"/>
  <c r="Q104" i="3"/>
  <c r="G104" i="3"/>
  <c r="K104" i="3"/>
  <c r="K23" i="3"/>
  <c r="K11" i="5" s="1"/>
  <c r="K13" i="5" s="1"/>
  <c r="I103" i="3"/>
  <c r="I91" i="5" s="1"/>
  <c r="I93" i="5" s="1"/>
  <c r="E24" i="3"/>
  <c r="W24" i="3"/>
  <c r="H103" i="3"/>
  <c r="H91" i="5" s="1"/>
  <c r="H93" i="5" s="1"/>
  <c r="K24" i="3"/>
  <c r="L24" i="3"/>
  <c r="L104" i="3"/>
  <c r="T103" i="3"/>
  <c r="T91" i="5" s="1"/>
  <c r="T93" i="5" s="1"/>
  <c r="U24" i="3"/>
  <c r="D24" i="3"/>
  <c r="W104" i="3"/>
  <c r="P23" i="3"/>
  <c r="P11" i="5" s="1"/>
  <c r="P13" i="5" s="1"/>
  <c r="R104" i="3"/>
  <c r="F104" i="3"/>
  <c r="W23" i="3"/>
  <c r="W11" i="5" s="1"/>
  <c r="W13" i="5" s="1"/>
  <c r="S24" i="3"/>
  <c r="H24" i="3"/>
  <c r="M103" i="3"/>
  <c r="M91" i="5" s="1"/>
  <c r="M93" i="5" s="1"/>
  <c r="S23" i="3"/>
  <c r="S11" i="5" s="1"/>
  <c r="S13" i="5" s="1"/>
  <c r="F23" i="3"/>
  <c r="F11" i="5" s="1"/>
  <c r="F13" i="5" s="1"/>
  <c r="D20" i="9"/>
  <c r="V23" i="3"/>
  <c r="V11" i="5" s="1"/>
  <c r="V13" i="5" s="1"/>
  <c r="R23" i="3"/>
  <c r="R11" i="5" s="1"/>
  <c r="R13" i="5" s="1"/>
  <c r="O103" i="3"/>
  <c r="O91" i="5" s="1"/>
  <c r="O93" i="5" s="1"/>
  <c r="S103" i="3"/>
  <c r="S91" i="5" s="1"/>
  <c r="S93" i="5" s="1"/>
  <c r="D103" i="3"/>
  <c r="D91" i="5" s="1"/>
  <c r="D93" i="5" s="1"/>
  <c r="N103" i="3"/>
  <c r="N91" i="5" s="1"/>
  <c r="N93" i="5" s="1"/>
  <c r="G10" i="10"/>
  <c r="D22" i="9"/>
  <c r="J27" i="3"/>
  <c r="Q27" i="3"/>
  <c r="H27" i="3"/>
  <c r="X27" i="3"/>
  <c r="Y28" i="3" s="1"/>
  <c r="Y16" i="5" s="1"/>
  <c r="Y19" i="5" s="1"/>
  <c r="Y20" i="5" s="1"/>
  <c r="U27" i="3"/>
  <c r="Q107" i="3"/>
  <c r="F27" i="3"/>
  <c r="V27" i="3"/>
  <c r="E27" i="3"/>
  <c r="S27" i="3"/>
  <c r="T27" i="3"/>
  <c r="D27" i="3"/>
  <c r="D107" i="3"/>
  <c r="H107" i="3"/>
  <c r="V107" i="3"/>
  <c r="O27" i="3"/>
  <c r="S107" i="3"/>
  <c r="T107" i="3"/>
  <c r="G27" i="3"/>
  <c r="P107" i="3"/>
  <c r="W27" i="3"/>
  <c r="E107" i="3"/>
  <c r="K107" i="3"/>
  <c r="R107" i="3"/>
  <c r="X107" i="3"/>
  <c r="Y108" i="3" s="1"/>
  <c r="Y96" i="5" s="1"/>
  <c r="Y99" i="5" s="1"/>
  <c r="P27" i="3"/>
  <c r="W107" i="3"/>
  <c r="L27" i="3"/>
  <c r="J107" i="3"/>
  <c r="G107" i="3"/>
  <c r="R27" i="3"/>
  <c r="F107" i="3"/>
  <c r="I27" i="3"/>
  <c r="M27" i="3"/>
  <c r="M107" i="3"/>
  <c r="K27" i="3"/>
  <c r="I107" i="3"/>
  <c r="N107" i="3"/>
  <c r="O107" i="3"/>
  <c r="L107" i="3"/>
  <c r="U107" i="3"/>
  <c r="N27" i="3"/>
  <c r="B22" i="9"/>
  <c r="H23" i="3"/>
  <c r="H11" i="5" s="1"/>
  <c r="H13" i="5" s="1"/>
  <c r="B100" i="4"/>
  <c r="E109" i="4"/>
  <c r="B99" i="4"/>
  <c r="H109" i="4"/>
  <c r="W109" i="4"/>
  <c r="U109" i="4"/>
  <c r="O109" i="4"/>
  <c r="G109" i="4"/>
  <c r="X109" i="4"/>
  <c r="R109" i="4"/>
  <c r="V109" i="4"/>
  <c r="K109" i="4"/>
  <c r="J109" i="4"/>
  <c r="S109" i="4"/>
  <c r="D109" i="4"/>
  <c r="I109" i="4"/>
  <c r="Q109" i="4"/>
  <c r="N109" i="4"/>
  <c r="P109" i="4"/>
  <c r="F109" i="4"/>
  <c r="T109" i="4"/>
  <c r="L109" i="4"/>
  <c r="M109" i="4"/>
  <c r="P103" i="3"/>
  <c r="P91" i="5" s="1"/>
  <c r="P93" i="5" s="1"/>
  <c r="R90" i="6" l="1"/>
  <c r="R145" i="8" s="1"/>
  <c r="AF20" i="5"/>
  <c r="AB100" i="5"/>
  <c r="Z11" i="6"/>
  <c r="Z10" i="6"/>
  <c r="Z65" i="8" s="1"/>
  <c r="B143" i="10"/>
  <c r="B146" i="10"/>
  <c r="AC11" i="6"/>
  <c r="AC10" i="6"/>
  <c r="AC65" i="8" s="1"/>
  <c r="AA95" i="5"/>
  <c r="AA108" i="3"/>
  <c r="AA96" i="5" s="1"/>
  <c r="AA99" i="5" s="1"/>
  <c r="Y91" i="6"/>
  <c r="Y90" i="6"/>
  <c r="AD28" i="3"/>
  <c r="AD16" i="5" s="1"/>
  <c r="AD19" i="5" s="1"/>
  <c r="AD15" i="5"/>
  <c r="AD20" i="5" s="1"/>
  <c r="AD21" i="5" s="1"/>
  <c r="D147" i="10" s="1"/>
  <c r="B145" i="10"/>
  <c r="AB10" i="6"/>
  <c r="AB11" i="6"/>
  <c r="AH30" i="4"/>
  <c r="AH33" i="4" s="1"/>
  <c r="AH35" i="4" s="1"/>
  <c r="AH22" i="8"/>
  <c r="AB110" i="4"/>
  <c r="AB113" i="4" s="1"/>
  <c r="AB115" i="4" s="1"/>
  <c r="AB102" i="8"/>
  <c r="B151" i="10"/>
  <c r="AH11" i="6"/>
  <c r="AH10" i="6"/>
  <c r="AG22" i="8"/>
  <c r="AG30" i="4"/>
  <c r="AG33" i="4" s="1"/>
  <c r="AG35" i="4" s="1"/>
  <c r="AD102" i="8"/>
  <c r="AD110" i="4"/>
  <c r="AD113" i="4" s="1"/>
  <c r="AD115" i="4" s="1"/>
  <c r="Z15" i="5"/>
  <c r="Z28" i="3"/>
  <c r="Z16" i="5" s="1"/>
  <c r="Z19" i="5" s="1"/>
  <c r="Z30" i="4"/>
  <c r="Z33" i="4" s="1"/>
  <c r="Z35" i="4" s="1"/>
  <c r="Z22" i="8"/>
  <c r="AC110" i="4"/>
  <c r="AC113" i="4" s="1"/>
  <c r="AC115" i="4" s="1"/>
  <c r="AC102" i="8"/>
  <c r="AA91" i="6"/>
  <c r="AA90" i="6"/>
  <c r="AA145" i="8" s="1"/>
  <c r="AB17" i="6"/>
  <c r="Z17" i="6"/>
  <c r="Y17" i="6"/>
  <c r="AC17" i="6"/>
  <c r="AA17" i="6"/>
  <c r="AF17" i="6"/>
  <c r="AG17" i="6"/>
  <c r="AD17" i="6"/>
  <c r="AH17" i="6"/>
  <c r="AE17" i="6"/>
  <c r="AB22" i="8"/>
  <c r="AB30" i="4"/>
  <c r="AB33" i="4" s="1"/>
  <c r="AB35" i="4" s="1"/>
  <c r="AA110" i="4"/>
  <c r="AA113" i="4" s="1"/>
  <c r="AA115" i="4" s="1"/>
  <c r="AA102" i="8"/>
  <c r="AE108" i="3"/>
  <c r="AE96" i="5" s="1"/>
  <c r="AE99" i="5" s="1"/>
  <c r="AE100" i="5" s="1"/>
  <c r="AE101" i="5" s="1"/>
  <c r="AE102" i="5" s="1"/>
  <c r="AA22" i="8"/>
  <c r="AA30" i="4"/>
  <c r="AA33" i="4" s="1"/>
  <c r="AA35" i="4" s="1"/>
  <c r="AH102" i="8"/>
  <c r="AH110" i="4"/>
  <c r="AH113" i="4" s="1"/>
  <c r="AH115" i="4" s="1"/>
  <c r="Y22" i="8"/>
  <c r="Y30" i="4"/>
  <c r="Y33" i="4" s="1"/>
  <c r="Y35" i="4" s="1"/>
  <c r="B144" i="10"/>
  <c r="AA11" i="6"/>
  <c r="AA10" i="6"/>
  <c r="AA65" i="8" s="1"/>
  <c r="AG97" i="6"/>
  <c r="AE97" i="6"/>
  <c r="AB97" i="6"/>
  <c r="Y97" i="6"/>
  <c r="Z97" i="6"/>
  <c r="AF97" i="6"/>
  <c r="AD97" i="6"/>
  <c r="AC97" i="6"/>
  <c r="AA97" i="6"/>
  <c r="AH97" i="6"/>
  <c r="AF30" i="4"/>
  <c r="AF33" i="4" s="1"/>
  <c r="AF35" i="4" s="1"/>
  <c r="AF22" i="8"/>
  <c r="AB90" i="6"/>
  <c r="AB145" i="8" s="1"/>
  <c r="AB91" i="6"/>
  <c r="AD30" i="4"/>
  <c r="AD33" i="4" s="1"/>
  <c r="AD35" i="4" s="1"/>
  <c r="AD22" i="8"/>
  <c r="AG110" i="4"/>
  <c r="AG113" i="4" s="1"/>
  <c r="AG115" i="4" s="1"/>
  <c r="AG102" i="8"/>
  <c r="AH90" i="6"/>
  <c r="AH91" i="6"/>
  <c r="AG90" i="6"/>
  <c r="AG91" i="6"/>
  <c r="AG145" i="8" s="1"/>
  <c r="AE15" i="5"/>
  <c r="AE20" i="5" s="1"/>
  <c r="AE28" i="3"/>
  <c r="AE16" i="5" s="1"/>
  <c r="AE19" i="5" s="1"/>
  <c r="AG99" i="6"/>
  <c r="AH99" i="6"/>
  <c r="AB99" i="6"/>
  <c r="Y99" i="6"/>
  <c r="AD99" i="6"/>
  <c r="AE99" i="6"/>
  <c r="AF99" i="6"/>
  <c r="AA99" i="6"/>
  <c r="Z99" i="6"/>
  <c r="AC99" i="6"/>
  <c r="B149" i="10"/>
  <c r="AF10" i="6"/>
  <c r="AF65" i="8" s="1"/>
  <c r="AF11" i="6"/>
  <c r="Z90" i="6"/>
  <c r="Z91" i="6"/>
  <c r="AE102" i="8"/>
  <c r="AE110" i="4"/>
  <c r="AE113" i="4" s="1"/>
  <c r="AE115" i="4" s="1"/>
  <c r="Y145" i="8"/>
  <c r="AF95" i="5"/>
  <c r="AF100" i="5" s="1"/>
  <c r="AF101" i="5" s="1"/>
  <c r="AF102" i="5" s="1"/>
  <c r="AH65" i="8"/>
  <c r="AD90" i="6"/>
  <c r="AD145" i="8" s="1"/>
  <c r="AD91" i="6"/>
  <c r="AD11" i="6"/>
  <c r="B147" i="10"/>
  <c r="AD10" i="6"/>
  <c r="AD65" i="8" s="1"/>
  <c r="Y102" i="8"/>
  <c r="Y110" i="4"/>
  <c r="Y113" i="4" s="1"/>
  <c r="Y115" i="4" s="1"/>
  <c r="AD19" i="6"/>
  <c r="Y19" i="6"/>
  <c r="AB19" i="6"/>
  <c r="AF19" i="6"/>
  <c r="AE19" i="6"/>
  <c r="AG19" i="6"/>
  <c r="Z19" i="6"/>
  <c r="AC19" i="6"/>
  <c r="AH19" i="6"/>
  <c r="AA19" i="6"/>
  <c r="B150" i="10"/>
  <c r="AG11" i="6"/>
  <c r="AG10" i="6"/>
  <c r="AG65" i="8" s="1"/>
  <c r="AE90" i="6"/>
  <c r="AE91" i="6"/>
  <c r="AF102" i="8"/>
  <c r="AF110" i="4"/>
  <c r="AF113" i="4" s="1"/>
  <c r="AF115" i="4" s="1"/>
  <c r="Z100" i="5"/>
  <c r="E13" i="7"/>
  <c r="AG13" i="7"/>
  <c r="AD13" i="7"/>
  <c r="AH19" i="7"/>
  <c r="AE19" i="7"/>
  <c r="AG19" i="7"/>
  <c r="AA19" i="7"/>
  <c r="Z13" i="7"/>
  <c r="AD19" i="7"/>
  <c r="AA13" i="7"/>
  <c r="AF13" i="7"/>
  <c r="Y19" i="7"/>
  <c r="AE13" i="7"/>
  <c r="AC13" i="7"/>
  <c r="Z19" i="7"/>
  <c r="Y13" i="7"/>
  <c r="AB19" i="7"/>
  <c r="AF19" i="7"/>
  <c r="AB13" i="7"/>
  <c r="AH13" i="7"/>
  <c r="AC19" i="7"/>
  <c r="AD101" i="5"/>
  <c r="AD102" i="5" s="1"/>
  <c r="Y109" i="8"/>
  <c r="AG95" i="5"/>
  <c r="AG108" i="3"/>
  <c r="AG96" i="5" s="1"/>
  <c r="AG99" i="5" s="1"/>
  <c r="AH109" i="8"/>
  <c r="C149" i="10"/>
  <c r="AF21" i="5"/>
  <c r="D149" i="10" s="1"/>
  <c r="AF109" i="8"/>
  <c r="AC109" i="8"/>
  <c r="AD109" i="8"/>
  <c r="AH108" i="3"/>
  <c r="AH96" i="5" s="1"/>
  <c r="AH99" i="5" s="1"/>
  <c r="AH100" i="5" s="1"/>
  <c r="AG109" i="8"/>
  <c r="AG28" i="3"/>
  <c r="AG16" i="5" s="1"/>
  <c r="AG19" i="5" s="1"/>
  <c r="AG15" i="5"/>
  <c r="AE109" i="8"/>
  <c r="AA109" i="8"/>
  <c r="Y100" i="5"/>
  <c r="AC100" i="5"/>
  <c r="AB109" i="8"/>
  <c r="AB101" i="5"/>
  <c r="AB102" i="5" s="1"/>
  <c r="Z109" i="8"/>
  <c r="C142" i="10"/>
  <c r="Y21" i="5"/>
  <c r="D142" i="10" s="1"/>
  <c r="AA28" i="3"/>
  <c r="AA16" i="5" s="1"/>
  <c r="AA19" i="5" s="1"/>
  <c r="AA15" i="5"/>
  <c r="AB28" i="3"/>
  <c r="AB16" i="5" s="1"/>
  <c r="AB19" i="5" s="1"/>
  <c r="AB20" i="5" s="1"/>
  <c r="AC20" i="5"/>
  <c r="AH28" i="3"/>
  <c r="AH16" i="5" s="1"/>
  <c r="AH19" i="5" s="1"/>
  <c r="AH20" i="5" s="1"/>
  <c r="X11" i="6"/>
  <c r="X10" i="6"/>
  <c r="G19" i="7"/>
  <c r="I19" i="7"/>
  <c r="D51" i="10"/>
  <c r="M19" i="7"/>
  <c r="B8" i="7"/>
  <c r="P19" i="7"/>
  <c r="X19" i="7"/>
  <c r="G13" i="7"/>
  <c r="G29" i="8" s="1"/>
  <c r="T19" i="7"/>
  <c r="J19" i="7"/>
  <c r="V19" i="7"/>
  <c r="D52" i="10"/>
  <c r="S19" i="7"/>
  <c r="W19" i="7"/>
  <c r="L19" i="7"/>
  <c r="U19" i="7"/>
  <c r="R19" i="7"/>
  <c r="E19" i="7"/>
  <c r="F13" i="7"/>
  <c r="F29" i="8" s="1"/>
  <c r="D13" i="7"/>
  <c r="D14" i="7" s="1"/>
  <c r="O19" i="7"/>
  <c r="H19" i="7"/>
  <c r="Q19" i="7"/>
  <c r="F19" i="7"/>
  <c r="K19" i="7"/>
  <c r="G22" i="9"/>
  <c r="I110" i="4"/>
  <c r="I113" i="4" s="1"/>
  <c r="I115" i="4" s="1"/>
  <c r="I102" i="8"/>
  <c r="J95" i="5"/>
  <c r="J108" i="3"/>
  <c r="J96" i="5" s="1"/>
  <c r="J99" i="5" s="1"/>
  <c r="D108" i="3"/>
  <c r="D96" i="5" s="1"/>
  <c r="D99" i="5" s="1"/>
  <c r="D95" i="5"/>
  <c r="D90" i="6"/>
  <c r="D91" i="6"/>
  <c r="W30" i="4"/>
  <c r="W33" i="4" s="1"/>
  <c r="W35" i="4" s="1"/>
  <c r="W22" i="8"/>
  <c r="B125" i="10"/>
  <c r="H10" i="6"/>
  <c r="H11" i="6"/>
  <c r="O91" i="6"/>
  <c r="O90" i="6"/>
  <c r="T90" i="6"/>
  <c r="T91" i="6"/>
  <c r="B124" i="10"/>
  <c r="G10" i="6"/>
  <c r="G11" i="6"/>
  <c r="B129" i="10"/>
  <c r="L11" i="6"/>
  <c r="L10" i="6"/>
  <c r="E30" i="4"/>
  <c r="E33" i="4" s="1"/>
  <c r="E22" i="8"/>
  <c r="R19" i="6"/>
  <c r="P19" i="6"/>
  <c r="Q19" i="6"/>
  <c r="O19" i="6"/>
  <c r="N19" i="6"/>
  <c r="U19" i="6"/>
  <c r="W19" i="6"/>
  <c r="T19" i="6"/>
  <c r="H19" i="6"/>
  <c r="H21" i="6" s="1"/>
  <c r="V19" i="6"/>
  <c r="X19" i="6"/>
  <c r="L19" i="6"/>
  <c r="S19" i="6"/>
  <c r="J19" i="6"/>
  <c r="M19" i="6"/>
  <c r="K19" i="6"/>
  <c r="I19" i="6"/>
  <c r="B135" i="10"/>
  <c r="R10" i="6"/>
  <c r="R11" i="6"/>
  <c r="W91" i="6"/>
  <c r="W90" i="6"/>
  <c r="L91" i="6"/>
  <c r="L90" i="6"/>
  <c r="G30" i="4"/>
  <c r="G33" i="4" s="1"/>
  <c r="G22" i="8"/>
  <c r="L22" i="8"/>
  <c r="L30" i="4"/>
  <c r="L33" i="4" s="1"/>
  <c r="L35" i="4" s="1"/>
  <c r="W95" i="5"/>
  <c r="W108" i="3"/>
  <c r="W96" i="5" s="1"/>
  <c r="W99" i="5" s="1"/>
  <c r="K110" i="4"/>
  <c r="K113" i="4" s="1"/>
  <c r="K115" i="4" s="1"/>
  <c r="K102" i="8"/>
  <c r="U95" i="5"/>
  <c r="U108" i="3"/>
  <c r="U96" i="5" s="1"/>
  <c r="U99" i="5" s="1"/>
  <c r="X108" i="3"/>
  <c r="X96" i="5" s="1"/>
  <c r="X99" i="5" s="1"/>
  <c r="X95" i="5"/>
  <c r="E28" i="3"/>
  <c r="E16" i="5" s="1"/>
  <c r="E19" i="5" s="1"/>
  <c r="E15" i="5"/>
  <c r="B139" i="10"/>
  <c r="V10" i="6"/>
  <c r="V11" i="6"/>
  <c r="F91" i="6"/>
  <c r="F90" i="6"/>
  <c r="B130" i="10"/>
  <c r="M11" i="6"/>
  <c r="M10" i="6"/>
  <c r="U30" i="4"/>
  <c r="U33" i="4" s="1"/>
  <c r="U35" i="4" s="1"/>
  <c r="U22" i="8"/>
  <c r="K22" i="8"/>
  <c r="K30" i="4"/>
  <c r="K33" i="4" s="1"/>
  <c r="K35" i="4" s="1"/>
  <c r="U90" i="6"/>
  <c r="U91" i="6"/>
  <c r="V90" i="6"/>
  <c r="V91" i="6"/>
  <c r="B126" i="10"/>
  <c r="I10" i="6"/>
  <c r="I11" i="6"/>
  <c r="E109" i="8"/>
  <c r="O22" i="8"/>
  <c r="O30" i="4"/>
  <c r="O33" i="4" s="1"/>
  <c r="O35" i="4" s="1"/>
  <c r="P22" i="8"/>
  <c r="P30" i="4"/>
  <c r="P33" i="4" s="1"/>
  <c r="P35" i="4" s="1"/>
  <c r="K108" i="3"/>
  <c r="K96" i="5" s="1"/>
  <c r="K99" i="5" s="1"/>
  <c r="K95" i="5"/>
  <c r="F15" i="5"/>
  <c r="F28" i="3"/>
  <c r="F16" i="5" s="1"/>
  <c r="F19" i="5" s="1"/>
  <c r="B123" i="10"/>
  <c r="F10" i="6"/>
  <c r="F11" i="6"/>
  <c r="H90" i="6"/>
  <c r="H91" i="6"/>
  <c r="B121" i="10"/>
  <c r="D10" i="6"/>
  <c r="D11" i="6"/>
  <c r="F30" i="4"/>
  <c r="F33" i="4" s="1"/>
  <c r="F22" i="8"/>
  <c r="Q22" i="8"/>
  <c r="Q30" i="4"/>
  <c r="Q33" i="4" s="1"/>
  <c r="Q35" i="4" s="1"/>
  <c r="S91" i="6"/>
  <c r="S90" i="6"/>
  <c r="P91" i="6"/>
  <c r="P90" i="6"/>
  <c r="N95" i="5"/>
  <c r="N108" i="3"/>
  <c r="N96" i="5" s="1"/>
  <c r="N99" i="5" s="1"/>
  <c r="E108" i="3"/>
  <c r="E96" i="5" s="1"/>
  <c r="E99" i="5" s="1"/>
  <c r="E95" i="5"/>
  <c r="Q108" i="3"/>
  <c r="Q96" i="5" s="1"/>
  <c r="Q99" i="5" s="1"/>
  <c r="Q95" i="5"/>
  <c r="B136" i="10"/>
  <c r="S11" i="6"/>
  <c r="S10" i="6"/>
  <c r="E91" i="6"/>
  <c r="E90" i="6"/>
  <c r="B137" i="10"/>
  <c r="T10" i="6"/>
  <c r="T11" i="6"/>
  <c r="V22" i="8"/>
  <c r="V30" i="4"/>
  <c r="V33" i="4" s="1"/>
  <c r="V35" i="4" s="1"/>
  <c r="D102" i="8"/>
  <c r="D101" i="6"/>
  <c r="D110" i="4"/>
  <c r="D113" i="4" s="1"/>
  <c r="G101" i="6"/>
  <c r="E101" i="6"/>
  <c r="F101" i="6"/>
  <c r="D28" i="3"/>
  <c r="D16" i="5" s="1"/>
  <c r="D19" i="5" s="1"/>
  <c r="D15" i="5"/>
  <c r="S15" i="5"/>
  <c r="S28" i="3"/>
  <c r="S16" i="5" s="1"/>
  <c r="S19" i="5" s="1"/>
  <c r="V102" i="8"/>
  <c r="V110" i="4"/>
  <c r="V113" i="4" s="1"/>
  <c r="V115" i="4" s="1"/>
  <c r="G110" i="4"/>
  <c r="G113" i="4" s="1"/>
  <c r="G102" i="8"/>
  <c r="I108" i="3"/>
  <c r="I96" i="5" s="1"/>
  <c r="I99" i="5" s="1"/>
  <c r="I95" i="5"/>
  <c r="W28" i="3"/>
  <c r="W16" i="5" s="1"/>
  <c r="W19" i="5" s="1"/>
  <c r="W15" i="5"/>
  <c r="U28" i="3"/>
  <c r="U16" i="5" s="1"/>
  <c r="U19" i="5" s="1"/>
  <c r="U15" i="5"/>
  <c r="M90" i="6"/>
  <c r="M91" i="6"/>
  <c r="N30" i="4"/>
  <c r="N33" i="4" s="1"/>
  <c r="N35" i="4" s="1"/>
  <c r="N22" i="8"/>
  <c r="R30" i="4"/>
  <c r="R33" i="4" s="1"/>
  <c r="R35" i="4" s="1"/>
  <c r="R22" i="8"/>
  <c r="J110" i="4"/>
  <c r="J113" i="4" s="1"/>
  <c r="J115" i="4" s="1"/>
  <c r="J102" i="8"/>
  <c r="P95" i="5"/>
  <c r="P108" i="3"/>
  <c r="P96" i="5" s="1"/>
  <c r="P99" i="5" s="1"/>
  <c r="X28" i="3"/>
  <c r="X16" i="5" s="1"/>
  <c r="X19" i="5" s="1"/>
  <c r="X15" i="5"/>
  <c r="I91" i="6"/>
  <c r="I90" i="6"/>
  <c r="J91" i="6"/>
  <c r="J90" i="6"/>
  <c r="B138" i="10"/>
  <c r="U11" i="6"/>
  <c r="U10" i="6"/>
  <c r="F109" i="8"/>
  <c r="M22" i="8"/>
  <c r="M30" i="4"/>
  <c r="M33" i="4" s="1"/>
  <c r="M35" i="4" s="1"/>
  <c r="S30" i="4"/>
  <c r="S33" i="4" s="1"/>
  <c r="S35" i="4" s="1"/>
  <c r="S22" i="8"/>
  <c r="L15" i="5"/>
  <c r="L28" i="3"/>
  <c r="L16" i="5" s="1"/>
  <c r="L19" i="5" s="1"/>
  <c r="T28" i="3"/>
  <c r="T16" i="5" s="1"/>
  <c r="T19" i="5" s="1"/>
  <c r="T15" i="5"/>
  <c r="O108" i="3"/>
  <c r="O96" i="5" s="1"/>
  <c r="O99" i="5" s="1"/>
  <c r="O95" i="5"/>
  <c r="M102" i="8"/>
  <c r="M110" i="4"/>
  <c r="M113" i="4" s="1"/>
  <c r="M115" i="4" s="1"/>
  <c r="T110" i="4"/>
  <c r="T113" i="4" s="1"/>
  <c r="T115" i="4" s="1"/>
  <c r="T102" i="8"/>
  <c r="U110" i="4"/>
  <c r="U113" i="4" s="1"/>
  <c r="U115" i="4" s="1"/>
  <c r="U102" i="8"/>
  <c r="M95" i="5"/>
  <c r="M108" i="3"/>
  <c r="M96" i="5" s="1"/>
  <c r="M99" i="5" s="1"/>
  <c r="G15" i="5"/>
  <c r="G28" i="3"/>
  <c r="G16" i="5" s="1"/>
  <c r="G19" i="5" s="1"/>
  <c r="H28" i="3"/>
  <c r="H16" i="5" s="1"/>
  <c r="H19" i="5" s="1"/>
  <c r="H15" i="5"/>
  <c r="B128" i="10"/>
  <c r="K10" i="6"/>
  <c r="K11" i="6"/>
  <c r="B134" i="10"/>
  <c r="Q11" i="6"/>
  <c r="Q10" i="6"/>
  <c r="G109" i="8"/>
  <c r="R17" i="6"/>
  <c r="Q17" i="6"/>
  <c r="P17" i="6"/>
  <c r="O17" i="6"/>
  <c r="N17" i="6"/>
  <c r="M17" i="6"/>
  <c r="X17" i="6"/>
  <c r="E17" i="6"/>
  <c r="D17" i="6"/>
  <c r="G17" i="6"/>
  <c r="V17" i="6"/>
  <c r="F17" i="6"/>
  <c r="L17" i="6"/>
  <c r="T17" i="6"/>
  <c r="U17" i="6"/>
  <c r="W17" i="6"/>
  <c r="S17" i="6"/>
  <c r="H17" i="6"/>
  <c r="K17" i="6"/>
  <c r="I17" i="6"/>
  <c r="J17" i="6"/>
  <c r="T22" i="8"/>
  <c r="T30" i="4"/>
  <c r="T33" i="4" s="1"/>
  <c r="T35" i="4" s="1"/>
  <c r="W110" i="4"/>
  <c r="W113" i="4" s="1"/>
  <c r="W115" i="4" s="1"/>
  <c r="W102" i="8"/>
  <c r="M15" i="5"/>
  <c r="M28" i="3"/>
  <c r="M16" i="5" s="1"/>
  <c r="M19" i="5" s="1"/>
  <c r="T108" i="3"/>
  <c r="T96" i="5" s="1"/>
  <c r="T99" i="5" s="1"/>
  <c r="T95" i="5"/>
  <c r="Q28" i="3"/>
  <c r="Q16" i="5" s="1"/>
  <c r="Q19" i="5" s="1"/>
  <c r="Q15" i="5"/>
  <c r="B140" i="10"/>
  <c r="W10" i="6"/>
  <c r="W11" i="6"/>
  <c r="X90" i="6"/>
  <c r="X91" i="6"/>
  <c r="B132" i="10"/>
  <c r="O10" i="6"/>
  <c r="O11" i="6"/>
  <c r="H30" i="4"/>
  <c r="H33" i="4" s="1"/>
  <c r="H35" i="4" s="1"/>
  <c r="H22" i="8"/>
  <c r="P28" i="3"/>
  <c r="P16" i="5" s="1"/>
  <c r="P19" i="5" s="1"/>
  <c r="P15" i="5"/>
  <c r="L95" i="5"/>
  <c r="L108" i="3"/>
  <c r="L96" i="5" s="1"/>
  <c r="L99" i="5" s="1"/>
  <c r="R102" i="8"/>
  <c r="R110" i="4"/>
  <c r="R113" i="4" s="1"/>
  <c r="R115" i="4" s="1"/>
  <c r="X102" i="8"/>
  <c r="X110" i="4"/>
  <c r="X113" i="4" s="1"/>
  <c r="X115" i="4" s="1"/>
  <c r="L102" i="8"/>
  <c r="L110" i="4"/>
  <c r="L113" i="4" s="1"/>
  <c r="L115" i="4" s="1"/>
  <c r="F110" i="4"/>
  <c r="F113" i="4" s="1"/>
  <c r="F102" i="8"/>
  <c r="P102" i="8"/>
  <c r="P110" i="4"/>
  <c r="P113" i="4" s="1"/>
  <c r="P115" i="4" s="1"/>
  <c r="H110" i="4"/>
  <c r="H113" i="4" s="1"/>
  <c r="H115" i="4" s="1"/>
  <c r="H102" i="8"/>
  <c r="I28" i="3"/>
  <c r="I16" i="5" s="1"/>
  <c r="I19" i="5" s="1"/>
  <c r="I15" i="5"/>
  <c r="S95" i="5"/>
  <c r="S108" i="3"/>
  <c r="S96" i="5" s="1"/>
  <c r="S99" i="5" s="1"/>
  <c r="J28" i="3"/>
  <c r="J16" i="5" s="1"/>
  <c r="J19" i="5" s="1"/>
  <c r="J15" i="5"/>
  <c r="B122" i="10"/>
  <c r="E11" i="6"/>
  <c r="E10" i="6"/>
  <c r="J22" i="8"/>
  <c r="J30" i="4"/>
  <c r="J33" i="4" s="1"/>
  <c r="J35" i="4" s="1"/>
  <c r="N110" i="4"/>
  <c r="N113" i="4" s="1"/>
  <c r="N115" i="4" s="1"/>
  <c r="N102" i="8"/>
  <c r="O28" i="3"/>
  <c r="O16" i="5" s="1"/>
  <c r="O19" i="5" s="1"/>
  <c r="O15" i="5"/>
  <c r="Q90" i="6"/>
  <c r="Q91" i="6"/>
  <c r="D109" i="8"/>
  <c r="D94" i="7"/>
  <c r="D98" i="7" s="1"/>
  <c r="D132" i="8" s="1"/>
  <c r="D95" i="7"/>
  <c r="I22" i="8"/>
  <c r="I30" i="4"/>
  <c r="I33" i="4" s="1"/>
  <c r="I35" i="4" s="1"/>
  <c r="S110" i="4"/>
  <c r="S113" i="4" s="1"/>
  <c r="S115" i="4" s="1"/>
  <c r="S102" i="8"/>
  <c r="N15" i="5"/>
  <c r="N28" i="3"/>
  <c r="N16" i="5" s="1"/>
  <c r="N19" i="5" s="1"/>
  <c r="R108" i="3"/>
  <c r="R96" i="5" s="1"/>
  <c r="R99" i="5" s="1"/>
  <c r="R95" i="5"/>
  <c r="O110" i="4"/>
  <c r="O113" i="4" s="1"/>
  <c r="O115" i="4" s="1"/>
  <c r="O102" i="8"/>
  <c r="F95" i="5"/>
  <c r="F108" i="3"/>
  <c r="F96" i="5" s="1"/>
  <c r="F99" i="5" s="1"/>
  <c r="Q110" i="4"/>
  <c r="Q113" i="4" s="1"/>
  <c r="Q115" i="4" s="1"/>
  <c r="Q102" i="8"/>
  <c r="E110" i="4"/>
  <c r="E113" i="4" s="1"/>
  <c r="E102" i="8"/>
  <c r="R28" i="3"/>
  <c r="R16" i="5" s="1"/>
  <c r="R19" i="5" s="1"/>
  <c r="R15" i="5"/>
  <c r="V95" i="5"/>
  <c r="V108" i="3"/>
  <c r="V96" i="5" s="1"/>
  <c r="V99" i="5" s="1"/>
  <c r="B133" i="10"/>
  <c r="P10" i="6"/>
  <c r="P11" i="6"/>
  <c r="G90" i="6"/>
  <c r="G91" i="6"/>
  <c r="K90" i="6"/>
  <c r="K91" i="6"/>
  <c r="F21" i="6"/>
  <c r="E21" i="6"/>
  <c r="D21" i="6"/>
  <c r="G21" i="6"/>
  <c r="D22" i="8"/>
  <c r="D30" i="4"/>
  <c r="D33" i="4" s="1"/>
  <c r="V15" i="5"/>
  <c r="V28" i="3"/>
  <c r="V16" i="5" s="1"/>
  <c r="V19" i="5" s="1"/>
  <c r="K28" i="3"/>
  <c r="K16" i="5" s="1"/>
  <c r="K19" i="5" s="1"/>
  <c r="K15" i="5"/>
  <c r="R97" i="6"/>
  <c r="O97" i="6"/>
  <c r="L97" i="6"/>
  <c r="U97" i="6"/>
  <c r="W97" i="6"/>
  <c r="T97" i="6"/>
  <c r="S97" i="6"/>
  <c r="F97" i="6"/>
  <c r="K97" i="6"/>
  <c r="V97" i="6"/>
  <c r="N97" i="6"/>
  <c r="D97" i="6"/>
  <c r="Q97" i="6"/>
  <c r="X97" i="6"/>
  <c r="E97" i="6"/>
  <c r="I97" i="6"/>
  <c r="M97" i="6"/>
  <c r="P97" i="6"/>
  <c r="G97" i="6"/>
  <c r="J97" i="6"/>
  <c r="H97" i="6"/>
  <c r="E29" i="8"/>
  <c r="S99" i="6"/>
  <c r="V99" i="6"/>
  <c r="T99" i="6"/>
  <c r="U99" i="6"/>
  <c r="X99" i="6"/>
  <c r="H99" i="6"/>
  <c r="L99" i="6"/>
  <c r="Q99" i="6"/>
  <c r="J99" i="6"/>
  <c r="R99" i="6"/>
  <c r="I99" i="6"/>
  <c r="N99" i="6"/>
  <c r="M99" i="6"/>
  <c r="P99" i="6"/>
  <c r="O99" i="6"/>
  <c r="W99" i="6"/>
  <c r="K99" i="6"/>
  <c r="G108" i="3"/>
  <c r="G96" i="5" s="1"/>
  <c r="G99" i="5" s="1"/>
  <c r="G95" i="5"/>
  <c r="H108" i="3"/>
  <c r="H96" i="5" s="1"/>
  <c r="H99" i="5" s="1"/>
  <c r="H95" i="5"/>
  <c r="N91" i="6"/>
  <c r="N90" i="6"/>
  <c r="B127" i="10"/>
  <c r="J10" i="6"/>
  <c r="J11" i="6"/>
  <c r="B131" i="10"/>
  <c r="N10" i="6"/>
  <c r="N11" i="6"/>
  <c r="X22" i="8"/>
  <c r="X30" i="4"/>
  <c r="X33" i="4" s="1"/>
  <c r="X35" i="4" s="1"/>
  <c r="E90" i="7" l="1"/>
  <c r="E94" i="7" s="1"/>
  <c r="D99" i="7"/>
  <c r="C147" i="10"/>
  <c r="Z20" i="5"/>
  <c r="AA100" i="5"/>
  <c r="C148" i="10"/>
  <c r="AE21" i="5"/>
  <c r="D148" i="10" s="1"/>
  <c r="Z145" i="8"/>
  <c r="AD101" i="6"/>
  <c r="AG100" i="5"/>
  <c r="AE145" i="8"/>
  <c r="AH145" i="8"/>
  <c r="Y22" i="5"/>
  <c r="Y13" i="6" s="1"/>
  <c r="AE22" i="5"/>
  <c r="AE13" i="6" s="1"/>
  <c r="AE16" i="6" s="1"/>
  <c r="AE11" i="8" s="1"/>
  <c r="AB65" i="8"/>
  <c r="AD95" i="6"/>
  <c r="AD93" i="6"/>
  <c r="AD96" i="6" s="1"/>
  <c r="AD91" i="8" s="1"/>
  <c r="AD103" i="5"/>
  <c r="AD90" i="8" s="1"/>
  <c r="AE93" i="6"/>
  <c r="AE95" i="6"/>
  <c r="AE146" i="8" s="1"/>
  <c r="AE103" i="5"/>
  <c r="AE90" i="8" s="1"/>
  <c r="C151" i="10"/>
  <c r="AH21" i="5"/>
  <c r="D151" i="10" s="1"/>
  <c r="AH22" i="5"/>
  <c r="AG101" i="5"/>
  <c r="AG102" i="5" s="1"/>
  <c r="Y29" i="8"/>
  <c r="C146" i="10"/>
  <c r="AC21" i="5"/>
  <c r="D146" i="10" s="1"/>
  <c r="AF21" i="6"/>
  <c r="C145" i="10"/>
  <c r="AB21" i="5"/>
  <c r="D145" i="10" s="1"/>
  <c r="AB22" i="5"/>
  <c r="AG101" i="6"/>
  <c r="AC29" i="8"/>
  <c r="AC21" i="6"/>
  <c r="AA20" i="5"/>
  <c r="AE29" i="8"/>
  <c r="AH101" i="5"/>
  <c r="AH102" i="5" s="1"/>
  <c r="AD22" i="5"/>
  <c r="AF29" i="8"/>
  <c r="AB21" i="6"/>
  <c r="Z101" i="6"/>
  <c r="AE15" i="6"/>
  <c r="AA29" i="8"/>
  <c r="AG21" i="6"/>
  <c r="AE21" i="6"/>
  <c r="AC101" i="6"/>
  <c r="AH21" i="6"/>
  <c r="Y21" i="6"/>
  <c r="AB101" i="6"/>
  <c r="AB93" i="6"/>
  <c r="AB95" i="6"/>
  <c r="AB103" i="5"/>
  <c r="AB90" i="8" s="1"/>
  <c r="Z29" i="8"/>
  <c r="AF101" i="6"/>
  <c r="AG20" i="5"/>
  <c r="AF22" i="5"/>
  <c r="Z21" i="6"/>
  <c r="AA21" i="6"/>
  <c r="AA101" i="6"/>
  <c r="Y101" i="6"/>
  <c r="AF93" i="6"/>
  <c r="AF95" i="6"/>
  <c r="AF146" i="8"/>
  <c r="AF103" i="5"/>
  <c r="AF90" i="8" s="1"/>
  <c r="AH29" i="8"/>
  <c r="AB29" i="8"/>
  <c r="AD29" i="8"/>
  <c r="AD21" i="6"/>
  <c r="AE101" i="6"/>
  <c r="AC101" i="5"/>
  <c r="AC102" i="5" s="1"/>
  <c r="AG29" i="8"/>
  <c r="Z101" i="5"/>
  <c r="Z102" i="5" s="1"/>
  <c r="AH101" i="6"/>
  <c r="Y101" i="5"/>
  <c r="Y102" i="5" s="1"/>
  <c r="X65" i="8"/>
  <c r="D29" i="8"/>
  <c r="W65" i="8"/>
  <c r="K21" i="6"/>
  <c r="R65" i="8"/>
  <c r="D15" i="7"/>
  <c r="V145" i="8"/>
  <c r="N145" i="8"/>
  <c r="Q65" i="8"/>
  <c r="U65" i="8"/>
  <c r="T145" i="8"/>
  <c r="J145" i="8"/>
  <c r="L21" i="6"/>
  <c r="J21" i="6"/>
  <c r="U145" i="8"/>
  <c r="W145" i="8"/>
  <c r="Q145" i="8"/>
  <c r="V65" i="8"/>
  <c r="O65" i="8"/>
  <c r="H145" i="8"/>
  <c r="I145" i="8"/>
  <c r="F65" i="8"/>
  <c r="P100" i="5"/>
  <c r="P101" i="5" s="1"/>
  <c r="P102" i="5" s="1"/>
  <c r="V21" i="6"/>
  <c r="M100" i="5"/>
  <c r="M101" i="5" s="1"/>
  <c r="M102" i="5" s="1"/>
  <c r="G145" i="8"/>
  <c r="N21" i="6"/>
  <c r="E145" i="8"/>
  <c r="M21" i="6"/>
  <c r="N65" i="8"/>
  <c r="D145" i="8"/>
  <c r="F145" i="8"/>
  <c r="I21" i="6"/>
  <c r="E20" i="5"/>
  <c r="C122" i="10" s="1"/>
  <c r="E65" i="8"/>
  <c r="S21" i="6"/>
  <c r="P65" i="8"/>
  <c r="S100" i="5"/>
  <c r="S101" i="5" s="1"/>
  <c r="S102" i="5" s="1"/>
  <c r="P21" i="6"/>
  <c r="T21" i="6"/>
  <c r="M20" i="5"/>
  <c r="M21" i="5" s="1"/>
  <c r="D130" i="10" s="1"/>
  <c r="M145" i="8"/>
  <c r="Q21" i="6"/>
  <c r="R21" i="6"/>
  <c r="U21" i="6"/>
  <c r="I65" i="8"/>
  <c r="D100" i="5"/>
  <c r="D101" i="5" s="1"/>
  <c r="D102" i="5" s="1"/>
  <c r="X145" i="8"/>
  <c r="T20" i="5"/>
  <c r="C137" i="10" s="1"/>
  <c r="O21" i="6"/>
  <c r="L20" i="5"/>
  <c r="C129" i="10" s="1"/>
  <c r="F20" i="5"/>
  <c r="C123" i="10" s="1"/>
  <c r="W101" i="6"/>
  <c r="K145" i="8"/>
  <c r="U20" i="5"/>
  <c r="C138" i="10" s="1"/>
  <c r="W100" i="5"/>
  <c r="W101" i="5" s="1"/>
  <c r="W102" i="5" s="1"/>
  <c r="J65" i="8"/>
  <c r="K20" i="5"/>
  <c r="K21" i="5" s="1"/>
  <c r="I100" i="5"/>
  <c r="L65" i="8"/>
  <c r="J20" i="5"/>
  <c r="C127" i="10" s="1"/>
  <c r="S145" i="8"/>
  <c r="R101" i="6"/>
  <c r="W21" i="6"/>
  <c r="G65" i="8"/>
  <c r="K100" i="5"/>
  <c r="K101" i="5" s="1"/>
  <c r="L145" i="8"/>
  <c r="I20" i="5"/>
  <c r="C126" i="10" s="1"/>
  <c r="T100" i="5"/>
  <c r="T101" i="5" s="1"/>
  <c r="T102" i="5" s="1"/>
  <c r="X100" i="5"/>
  <c r="H100" i="5"/>
  <c r="H101" i="5" s="1"/>
  <c r="H102" i="5" s="1"/>
  <c r="D133" i="8"/>
  <c r="X21" i="6"/>
  <c r="X24" i="6" s="1"/>
  <c r="Q20" i="5"/>
  <c r="W20" i="5"/>
  <c r="L101" i="6"/>
  <c r="J101" i="6"/>
  <c r="V100" i="5"/>
  <c r="I101" i="6"/>
  <c r="K101" i="6"/>
  <c r="V101" i="6"/>
  <c r="N100" i="5"/>
  <c r="R20" i="5"/>
  <c r="H20" i="5"/>
  <c r="O100" i="5"/>
  <c r="D108" i="8"/>
  <c r="D96" i="7"/>
  <c r="R100" i="5"/>
  <c r="P145" i="8"/>
  <c r="D65" i="8"/>
  <c r="G20" i="5"/>
  <c r="X101" i="6"/>
  <c r="X104" i="6" s="1"/>
  <c r="N20" i="5"/>
  <c r="O20" i="5"/>
  <c r="H101" i="6"/>
  <c r="N101" i="6"/>
  <c r="Q101" i="6"/>
  <c r="S20" i="5"/>
  <c r="U101" i="6"/>
  <c r="S101" i="6"/>
  <c r="S65" i="8"/>
  <c r="F100" i="5"/>
  <c r="D20" i="5"/>
  <c r="D16" i="7"/>
  <c r="D28" i="8"/>
  <c r="T101" i="6"/>
  <c r="O101" i="6"/>
  <c r="V20" i="5"/>
  <c r="O145" i="8"/>
  <c r="G100" i="5"/>
  <c r="L100" i="5"/>
  <c r="P101" i="6"/>
  <c r="Q100" i="5"/>
  <c r="M65" i="8"/>
  <c r="J100" i="5"/>
  <c r="P20" i="5"/>
  <c r="K65" i="8"/>
  <c r="X20" i="5"/>
  <c r="D18" i="7"/>
  <c r="M101" i="6"/>
  <c r="T65" i="8"/>
  <c r="E100" i="5"/>
  <c r="U100" i="5"/>
  <c r="H65" i="8"/>
  <c r="E95" i="7" l="1"/>
  <c r="F90" i="7" s="1"/>
  <c r="E10" i="7"/>
  <c r="E14" i="7" s="1"/>
  <c r="E16" i="7" s="1"/>
  <c r="E34" i="4" s="1"/>
  <c r="E35" i="4" s="1"/>
  <c r="D19" i="7"/>
  <c r="AB96" i="6"/>
  <c r="AB91" i="8" s="1"/>
  <c r="Y23" i="5"/>
  <c r="Y10" i="8" s="1"/>
  <c r="Y15" i="6"/>
  <c r="Y66" i="8" s="1"/>
  <c r="AA101" i="5"/>
  <c r="AA102" i="5"/>
  <c r="AE23" i="5"/>
  <c r="AE10" i="8" s="1"/>
  <c r="C143" i="10"/>
  <c r="Z21" i="5"/>
  <c r="AG95" i="6"/>
  <c r="AG93" i="6"/>
  <c r="AG96" i="6" s="1"/>
  <c r="AG91" i="8" s="1"/>
  <c r="AG146" i="8"/>
  <c r="AG103" i="5"/>
  <c r="AG90" i="8" s="1"/>
  <c r="AH95" i="6"/>
  <c r="AH93" i="6"/>
  <c r="AH96" i="6" s="1"/>
  <c r="AH91" i="8" s="1"/>
  <c r="AH103" i="5"/>
  <c r="AH90" i="8" s="1"/>
  <c r="Y93" i="6"/>
  <c r="Y95" i="6"/>
  <c r="Y146" i="8"/>
  <c r="Y103" i="5"/>
  <c r="Y90" i="8" s="1"/>
  <c r="AC93" i="6"/>
  <c r="AC95" i="6"/>
  <c r="AC146" i="8"/>
  <c r="AC103" i="5"/>
  <c r="AC90" i="8" s="1"/>
  <c r="AB92" i="8"/>
  <c r="AB96" i="8" s="1"/>
  <c r="AB106" i="8" s="1"/>
  <c r="AB146" i="8"/>
  <c r="AH15" i="6"/>
  <c r="AH13" i="6"/>
  <c r="AH16" i="6" s="1"/>
  <c r="AH11" i="8" s="1"/>
  <c r="AH23" i="5"/>
  <c r="AH10" i="8" s="1"/>
  <c r="AF96" i="6"/>
  <c r="AF91" i="8" s="1"/>
  <c r="AF92" i="8" s="1"/>
  <c r="AC22" i="5"/>
  <c r="AB15" i="6"/>
  <c r="AB13" i="6"/>
  <c r="AB23" i="5"/>
  <c r="AB10" i="8" s="1"/>
  <c r="AE96" i="6"/>
  <c r="AE91" i="8" s="1"/>
  <c r="Y16" i="6"/>
  <c r="Y11" i="8" s="1"/>
  <c r="Y12" i="8" s="1"/>
  <c r="Y16" i="8" s="1"/>
  <c r="AD92" i="8"/>
  <c r="AD96" i="8" s="1"/>
  <c r="AD15" i="6"/>
  <c r="AD13" i="6"/>
  <c r="AD23" i="5"/>
  <c r="AD10" i="8" s="1"/>
  <c r="D97" i="7"/>
  <c r="D94" i="8" s="1"/>
  <c r="AF15" i="6"/>
  <c r="AF13" i="6"/>
  <c r="AF66" i="8"/>
  <c r="AF23" i="5"/>
  <c r="AF10" i="8" s="1"/>
  <c r="Z95" i="6"/>
  <c r="Z93" i="6"/>
  <c r="Z146" i="8"/>
  <c r="Z103" i="5"/>
  <c r="Z90" i="8" s="1"/>
  <c r="C150" i="10"/>
  <c r="AG21" i="5"/>
  <c r="D150" i="10" s="1"/>
  <c r="AG22" i="5"/>
  <c r="AE12" i="8"/>
  <c r="AE16" i="8" s="1"/>
  <c r="AE26" i="8" s="1"/>
  <c r="AE20" i="8"/>
  <c r="AE66" i="8"/>
  <c r="C144" i="10"/>
  <c r="AA21" i="5"/>
  <c r="D144" i="10" s="1"/>
  <c r="AD146" i="8"/>
  <c r="E21" i="5"/>
  <c r="D122" i="10" s="1"/>
  <c r="U21" i="5"/>
  <c r="D138" i="10" s="1"/>
  <c r="C130" i="10"/>
  <c r="F21" i="5"/>
  <c r="D123" i="10" s="1"/>
  <c r="X101" i="5"/>
  <c r="X102" i="5" s="1"/>
  <c r="L21" i="5"/>
  <c r="D129" i="10" s="1"/>
  <c r="J21" i="5"/>
  <c r="D127" i="10" s="1"/>
  <c r="D128" i="10"/>
  <c r="K22" i="5"/>
  <c r="K13" i="6" s="1"/>
  <c r="C128" i="10"/>
  <c r="T21" i="5"/>
  <c r="D137" i="10" s="1"/>
  <c r="I101" i="5"/>
  <c r="I102" i="5" s="1"/>
  <c r="I21" i="5"/>
  <c r="D126" i="10" s="1"/>
  <c r="K102" i="5"/>
  <c r="K95" i="6" s="1"/>
  <c r="T95" i="6"/>
  <c r="T93" i="6"/>
  <c r="T103" i="5"/>
  <c r="T90" i="8" s="1"/>
  <c r="D95" i="6"/>
  <c r="D93" i="6"/>
  <c r="D103" i="5"/>
  <c r="H93" i="6"/>
  <c r="H95" i="6"/>
  <c r="H103" i="5"/>
  <c r="H90" i="8" s="1"/>
  <c r="C135" i="10"/>
  <c r="R21" i="5"/>
  <c r="D135" i="10" s="1"/>
  <c r="V101" i="5"/>
  <c r="V102" i="5" s="1"/>
  <c r="M22" i="5"/>
  <c r="C124" i="10"/>
  <c r="G21" i="5"/>
  <c r="D124" i="10" s="1"/>
  <c r="C121" i="10"/>
  <c r="D21" i="5"/>
  <c r="D121" i="10" s="1"/>
  <c r="F101" i="5"/>
  <c r="F102" i="5" s="1"/>
  <c r="Q101" i="5"/>
  <c r="Q102" i="5" s="1"/>
  <c r="R101" i="5"/>
  <c r="R102" i="5" s="1"/>
  <c r="N101" i="5"/>
  <c r="N102" i="5" s="1"/>
  <c r="C140" i="10"/>
  <c r="W21" i="5"/>
  <c r="D140" i="10" s="1"/>
  <c r="C139" i="10"/>
  <c r="V21" i="5"/>
  <c r="D139" i="10" s="1"/>
  <c r="E28" i="8"/>
  <c r="E18" i="7"/>
  <c r="G101" i="5"/>
  <c r="G102" i="5" s="1"/>
  <c r="D114" i="4"/>
  <c r="D115" i="4" s="1"/>
  <c r="D102" i="6"/>
  <c r="C134" i="10"/>
  <c r="Q21" i="5"/>
  <c r="D134" i="10" s="1"/>
  <c r="S95" i="6"/>
  <c r="S93" i="6"/>
  <c r="S103" i="5"/>
  <c r="S90" i="8" s="1"/>
  <c r="F94" i="7"/>
  <c r="F95" i="7"/>
  <c r="G90" i="7" s="1"/>
  <c r="D34" i="4"/>
  <c r="D35" i="4" s="1"/>
  <c r="D22" i="6"/>
  <c r="M95" i="6"/>
  <c r="M93" i="6"/>
  <c r="M103" i="5"/>
  <c r="M90" i="8" s="1"/>
  <c r="E101" i="5"/>
  <c r="E102" i="5" s="1"/>
  <c r="D17" i="7"/>
  <c r="D14" i="8" s="1"/>
  <c r="W95" i="6"/>
  <c r="W93" i="6"/>
  <c r="W103" i="5"/>
  <c r="W90" i="8" s="1"/>
  <c r="C141" i="10"/>
  <c r="X21" i="5"/>
  <c r="D141" i="10" s="1"/>
  <c r="C133" i="10"/>
  <c r="P21" i="5"/>
  <c r="D133" i="10" s="1"/>
  <c r="P95" i="6"/>
  <c r="P93" i="6"/>
  <c r="P103" i="5"/>
  <c r="P90" i="8" s="1"/>
  <c r="L101" i="5"/>
  <c r="L102" i="5" s="1"/>
  <c r="E108" i="8"/>
  <c r="E96" i="7"/>
  <c r="E114" i="4" s="1"/>
  <c r="E115" i="4" s="1"/>
  <c r="E98" i="7"/>
  <c r="E132" i="8" s="1"/>
  <c r="F121" i="10"/>
  <c r="D52" i="8"/>
  <c r="C132" i="10"/>
  <c r="O21" i="5"/>
  <c r="D132" i="10" s="1"/>
  <c r="O101" i="5"/>
  <c r="O102" i="5" s="1"/>
  <c r="U101" i="5"/>
  <c r="U102" i="5" s="1"/>
  <c r="J101" i="5"/>
  <c r="J102" i="5" s="1"/>
  <c r="C136" i="10"/>
  <c r="S21" i="5"/>
  <c r="D136" i="10" s="1"/>
  <c r="C131" i="10"/>
  <c r="N21" i="5"/>
  <c r="D131" i="10" s="1"/>
  <c r="C125" i="10"/>
  <c r="H21" i="5"/>
  <c r="D125" i="10" s="1"/>
  <c r="E15" i="7" l="1"/>
  <c r="F10" i="7" s="1"/>
  <c r="F14" i="7" s="1"/>
  <c r="F18" i="7" s="1"/>
  <c r="U22" i="5"/>
  <c r="E22" i="5"/>
  <c r="E13" i="6" s="1"/>
  <c r="AH146" i="8"/>
  <c r="AB66" i="8"/>
  <c r="D143" i="10"/>
  <c r="Z22" i="5"/>
  <c r="Z96" i="6"/>
  <c r="Z91" i="8" s="1"/>
  <c r="AA95" i="6"/>
  <c r="AA93" i="6"/>
  <c r="AA96" i="6" s="1"/>
  <c r="AA91" i="8" s="1"/>
  <c r="AA146" i="8"/>
  <c r="AA103" i="5"/>
  <c r="AA90" i="8" s="1"/>
  <c r="T22" i="5"/>
  <c r="T15" i="6" s="1"/>
  <c r="AA22" i="5"/>
  <c r="AA15" i="6" s="1"/>
  <c r="AH66" i="8"/>
  <c r="Y96" i="6"/>
  <c r="Y91" i="8" s="1"/>
  <c r="Y26" i="8"/>
  <c r="AE50" i="8"/>
  <c r="AE56" i="8"/>
  <c r="AF96" i="8"/>
  <c r="AF100" i="8"/>
  <c r="AB136" i="8"/>
  <c r="AB130" i="8"/>
  <c r="AF16" i="6"/>
  <c r="AF11" i="8" s="1"/>
  <c r="AF12" i="8" s="1"/>
  <c r="AF16" i="8" s="1"/>
  <c r="AC96" i="6"/>
  <c r="AC91" i="8" s="1"/>
  <c r="AC92" i="8" s="1"/>
  <c r="AD100" i="8"/>
  <c r="Y20" i="8"/>
  <c r="AD106" i="8"/>
  <c r="AE92" i="8"/>
  <c r="AE96" i="8" s="1"/>
  <c r="AE106" i="8" s="1"/>
  <c r="AH92" i="8"/>
  <c r="AH96" i="8" s="1"/>
  <c r="AH106" i="8"/>
  <c r="AG15" i="6"/>
  <c r="AG13" i="6"/>
  <c r="AG16" i="6" s="1"/>
  <c r="AG11" i="8" s="1"/>
  <c r="AG23" i="5"/>
  <c r="AG10" i="8" s="1"/>
  <c r="AB100" i="8"/>
  <c r="AD16" i="6"/>
  <c r="AD11" i="8" s="1"/>
  <c r="AD66" i="8"/>
  <c r="AC13" i="6"/>
  <c r="AC15" i="6"/>
  <c r="AC66" i="8"/>
  <c r="AC23" i="5"/>
  <c r="AC10" i="8" s="1"/>
  <c r="AG92" i="8"/>
  <c r="AG96" i="8" s="1"/>
  <c r="AG100" i="8"/>
  <c r="AG106" i="8"/>
  <c r="AA13" i="6"/>
  <c r="AF106" i="8"/>
  <c r="AH12" i="8"/>
  <c r="AH16" i="8" s="1"/>
  <c r="AH26" i="8" s="1"/>
  <c r="AH20" i="8"/>
  <c r="Z92" i="8"/>
  <c r="Z96" i="8" s="1"/>
  <c r="Z106" i="8" s="1"/>
  <c r="AB16" i="6"/>
  <c r="AB11" i="8" s="1"/>
  <c r="H146" i="8"/>
  <c r="R22" i="5"/>
  <c r="R23" i="5" s="1"/>
  <c r="R10" i="8" s="1"/>
  <c r="E17" i="7"/>
  <c r="E14" i="8" s="1"/>
  <c r="T96" i="6"/>
  <c r="T91" i="8" s="1"/>
  <c r="T92" i="8" s="1"/>
  <c r="T96" i="8" s="1"/>
  <c r="T106" i="8" s="1"/>
  <c r="W96" i="6"/>
  <c r="W91" i="8" s="1"/>
  <c r="W92" i="8" s="1"/>
  <c r="W96" i="8" s="1"/>
  <c r="F22" i="5"/>
  <c r="F23" i="5" s="1"/>
  <c r="F10" i="8" s="1"/>
  <c r="T146" i="8"/>
  <c r="K23" i="5"/>
  <c r="K10" i="8" s="1"/>
  <c r="J22" i="5"/>
  <c r="J15" i="6" s="1"/>
  <c r="K15" i="6"/>
  <c r="K66" i="8" s="1"/>
  <c r="H22" i="5"/>
  <c r="H13" i="6" s="1"/>
  <c r="P96" i="6"/>
  <c r="P91" i="8" s="1"/>
  <c r="P92" i="8" s="1"/>
  <c r="P96" i="8" s="1"/>
  <c r="L22" i="5"/>
  <c r="L13" i="6" s="1"/>
  <c r="E97" i="7"/>
  <c r="E94" i="8" s="1"/>
  <c r="E22" i="6"/>
  <c r="P22" i="5"/>
  <c r="P23" i="5" s="1"/>
  <c r="P10" i="8" s="1"/>
  <c r="K93" i="6"/>
  <c r="K146" i="8" s="1"/>
  <c r="W146" i="8"/>
  <c r="K103" i="5"/>
  <c r="K90" i="8" s="1"/>
  <c r="X103" i="5"/>
  <c r="X90" i="8" s="1"/>
  <c r="X93" i="6"/>
  <c r="X95" i="6"/>
  <c r="I22" i="5"/>
  <c r="I15" i="6" s="1"/>
  <c r="I93" i="6"/>
  <c r="I95" i="6"/>
  <c r="I103" i="5"/>
  <c r="I90" i="8" s="1"/>
  <c r="D96" i="6"/>
  <c r="D91" i="8" s="1"/>
  <c r="E102" i="6"/>
  <c r="D146" i="8"/>
  <c r="G22" i="5"/>
  <c r="G23" i="5" s="1"/>
  <c r="G10" i="8" s="1"/>
  <c r="P146" i="8"/>
  <c r="N22" i="5"/>
  <c r="N13" i="6" s="1"/>
  <c r="S96" i="6"/>
  <c r="S91" i="8" s="1"/>
  <c r="S92" i="8" s="1"/>
  <c r="S96" i="8" s="1"/>
  <c r="V93" i="6"/>
  <c r="V95" i="6"/>
  <c r="V103" i="5"/>
  <c r="V90" i="8" s="1"/>
  <c r="Q93" i="6"/>
  <c r="Q95" i="6"/>
  <c r="Q103" i="5"/>
  <c r="Q90" i="8" s="1"/>
  <c r="O93" i="6"/>
  <c r="O95" i="6"/>
  <c r="O103" i="5"/>
  <c r="O90" i="8" s="1"/>
  <c r="F93" i="6"/>
  <c r="F95" i="6"/>
  <c r="F103" i="5"/>
  <c r="F90" i="8" s="1"/>
  <c r="E95" i="6"/>
  <c r="E93" i="6"/>
  <c r="E103" i="5"/>
  <c r="E90" i="8" s="1"/>
  <c r="G95" i="6"/>
  <c r="G93" i="6"/>
  <c r="G103" i="5"/>
  <c r="G90" i="8" s="1"/>
  <c r="M96" i="6"/>
  <c r="M91" i="8" s="1"/>
  <c r="M92" i="8" s="1"/>
  <c r="M96" i="8" s="1"/>
  <c r="M106" i="8" s="1"/>
  <c r="N95" i="6"/>
  <c r="N93" i="6"/>
  <c r="N103" i="5"/>
  <c r="N90" i="8" s="1"/>
  <c r="D22" i="5"/>
  <c r="S146" i="8"/>
  <c r="R95" i="6"/>
  <c r="R93" i="6"/>
  <c r="R103" i="5"/>
  <c r="R90" i="8" s="1"/>
  <c r="Q22" i="5"/>
  <c r="F122" i="10"/>
  <c r="E52" i="8"/>
  <c r="E53" i="8" s="1"/>
  <c r="M15" i="6"/>
  <c r="M13" i="6"/>
  <c r="M23" i="5"/>
  <c r="M10" i="8" s="1"/>
  <c r="H96" i="6"/>
  <c r="H91" i="8" s="1"/>
  <c r="D90" i="8"/>
  <c r="O22" i="5"/>
  <c r="S22" i="5"/>
  <c r="V22" i="5"/>
  <c r="E133" i="8"/>
  <c r="U13" i="6"/>
  <c r="U15" i="6"/>
  <c r="U23" i="5"/>
  <c r="U10" i="8" s="1"/>
  <c r="J93" i="6"/>
  <c r="J95" i="6"/>
  <c r="J103" i="5"/>
  <c r="J90" i="8" s="1"/>
  <c r="E15" i="6"/>
  <c r="E23" i="5"/>
  <c r="E10" i="8" s="1"/>
  <c r="W22" i="5"/>
  <c r="L95" i="6"/>
  <c r="L93" i="6"/>
  <c r="L103" i="5"/>
  <c r="L90" i="8" s="1"/>
  <c r="D53" i="8"/>
  <c r="U95" i="6"/>
  <c r="U93" i="6"/>
  <c r="U103" i="5"/>
  <c r="U90" i="8" s="1"/>
  <c r="G94" i="7"/>
  <c r="G95" i="7"/>
  <c r="H90" i="7" s="1"/>
  <c r="X22" i="5"/>
  <c r="M146" i="8"/>
  <c r="F96" i="7"/>
  <c r="F108" i="8"/>
  <c r="F98" i="7"/>
  <c r="F132" i="8" s="1"/>
  <c r="F133" i="8" s="1"/>
  <c r="F16" i="7" l="1"/>
  <c r="F22" i="6" s="1"/>
  <c r="F28" i="8"/>
  <c r="F15" i="7"/>
  <c r="G10" i="7" s="1"/>
  <c r="K16" i="6"/>
  <c r="K11" i="8" s="1"/>
  <c r="K12" i="8" s="1"/>
  <c r="K16" i="8" s="1"/>
  <c r="T23" i="5"/>
  <c r="T10" i="8" s="1"/>
  <c r="T13" i="6"/>
  <c r="T66" i="8" s="1"/>
  <c r="Y92" i="8"/>
  <c r="Y96" i="8" s="1"/>
  <c r="AC16" i="6"/>
  <c r="AC11" i="8" s="1"/>
  <c r="AA92" i="8"/>
  <c r="AA96" i="8" s="1"/>
  <c r="AA106" i="8" s="1"/>
  <c r="AA100" i="8"/>
  <c r="AE100" i="8"/>
  <c r="R15" i="6"/>
  <c r="AB12" i="8"/>
  <c r="AB16" i="8" s="1"/>
  <c r="AB26" i="8" s="1"/>
  <c r="Z23" i="5"/>
  <c r="Z10" i="8" s="1"/>
  <c r="Z13" i="6"/>
  <c r="Z15" i="6"/>
  <c r="Z66" i="8"/>
  <c r="R13" i="6"/>
  <c r="AA23" i="5"/>
  <c r="AA10" i="8" s="1"/>
  <c r="AH50" i="8"/>
  <c r="AH56" i="8"/>
  <c r="AC96" i="8"/>
  <c r="AC106" i="8" s="1"/>
  <c r="AC100" i="8"/>
  <c r="Z130" i="8"/>
  <c r="Z136" i="8"/>
  <c r="AA16" i="6"/>
  <c r="AA11" i="8" s="1"/>
  <c r="AA12" i="8" s="1"/>
  <c r="AA16" i="8" s="1"/>
  <c r="AG12" i="8"/>
  <c r="AG16" i="8" s="1"/>
  <c r="AG20" i="8"/>
  <c r="AG26" i="8"/>
  <c r="AG130" i="8"/>
  <c r="AG136" i="8"/>
  <c r="AG66" i="8"/>
  <c r="AD130" i="8"/>
  <c r="AD136" i="8"/>
  <c r="AF20" i="8"/>
  <c r="AF26" i="8"/>
  <c r="Z100" i="8"/>
  <c r="AH130" i="8"/>
  <c r="AH136" i="8"/>
  <c r="AH100" i="8"/>
  <c r="AC12" i="8"/>
  <c r="AC16" i="8" s="1"/>
  <c r="AC26" i="8" s="1"/>
  <c r="Y106" i="8"/>
  <c r="AE57" i="8"/>
  <c r="AF130" i="8"/>
  <c r="AF136" i="8"/>
  <c r="AB137" i="8"/>
  <c r="AE130" i="8"/>
  <c r="AE136" i="8"/>
  <c r="AD12" i="8"/>
  <c r="AD16" i="8" s="1"/>
  <c r="Y56" i="8"/>
  <c r="Y50" i="8"/>
  <c r="AA66" i="8"/>
  <c r="J23" i="5"/>
  <c r="J10" i="8" s="1"/>
  <c r="J13" i="6"/>
  <c r="J16" i="6" s="1"/>
  <c r="J11" i="8" s="1"/>
  <c r="H23" i="5"/>
  <c r="H10" i="8" s="1"/>
  <c r="H15" i="6"/>
  <c r="H16" i="6" s="1"/>
  <c r="H11" i="8" s="1"/>
  <c r="L23" i="5"/>
  <c r="L10" i="8" s="1"/>
  <c r="P13" i="6"/>
  <c r="P15" i="6"/>
  <c r="L15" i="6"/>
  <c r="L66" i="8" s="1"/>
  <c r="F13" i="6"/>
  <c r="F15" i="6"/>
  <c r="K96" i="6"/>
  <c r="K91" i="8" s="1"/>
  <c r="K92" i="8" s="1"/>
  <c r="K96" i="8" s="1"/>
  <c r="K106" i="8" s="1"/>
  <c r="U96" i="6"/>
  <c r="U91" i="8" s="1"/>
  <c r="U92" i="8" s="1"/>
  <c r="U96" i="8" s="1"/>
  <c r="M66" i="8"/>
  <c r="V146" i="8"/>
  <c r="X96" i="6"/>
  <c r="X91" i="8" s="1"/>
  <c r="X92" i="8" s="1"/>
  <c r="X96" i="8" s="1"/>
  <c r="M16" i="6"/>
  <c r="M11" i="8" s="1"/>
  <c r="M12" i="8" s="1"/>
  <c r="M16" i="8" s="1"/>
  <c r="M26" i="8" s="1"/>
  <c r="G96" i="6"/>
  <c r="G91" i="8" s="1"/>
  <c r="G92" i="8" s="1"/>
  <c r="G96" i="8" s="1"/>
  <c r="G106" i="8" s="1"/>
  <c r="I23" i="5"/>
  <c r="I10" i="8" s="1"/>
  <c r="T100" i="8"/>
  <c r="X146" i="8"/>
  <c r="I13" i="6"/>
  <c r="I66" i="8" s="1"/>
  <c r="I146" i="8"/>
  <c r="G146" i="8"/>
  <c r="E146" i="8"/>
  <c r="L96" i="6"/>
  <c r="L91" i="8" s="1"/>
  <c r="L92" i="8" s="1"/>
  <c r="L96" i="8" s="1"/>
  <c r="L106" i="8" s="1"/>
  <c r="U66" i="8"/>
  <c r="G15" i="6"/>
  <c r="G13" i="6"/>
  <c r="N146" i="8"/>
  <c r="R96" i="6"/>
  <c r="R91" i="8" s="1"/>
  <c r="R92" i="8" s="1"/>
  <c r="R96" i="8" s="1"/>
  <c r="F146" i="8"/>
  <c r="E96" i="6"/>
  <c r="E91" i="8" s="1"/>
  <c r="E92" i="8" s="1"/>
  <c r="E96" i="8" s="1"/>
  <c r="N23" i="5"/>
  <c r="N10" i="8" s="1"/>
  <c r="N15" i="6"/>
  <c r="N16" i="6" s="1"/>
  <c r="N11" i="8" s="1"/>
  <c r="Q146" i="8"/>
  <c r="I96" i="6"/>
  <c r="I91" i="8" s="1"/>
  <c r="I92" i="8" s="1"/>
  <c r="I96" i="8" s="1"/>
  <c r="U16" i="6"/>
  <c r="U11" i="8" s="1"/>
  <c r="U12" i="8" s="1"/>
  <c r="U16" i="8" s="1"/>
  <c r="J96" i="6"/>
  <c r="J91" i="8" s="1"/>
  <c r="J92" i="8" s="1"/>
  <c r="J96" i="8" s="1"/>
  <c r="M100" i="8"/>
  <c r="E16" i="6"/>
  <c r="E11" i="8" s="1"/>
  <c r="E12" i="8" s="1"/>
  <c r="E16" i="8" s="1"/>
  <c r="U146" i="8"/>
  <c r="T136" i="8"/>
  <c r="T130" i="8"/>
  <c r="M136" i="8"/>
  <c r="M130" i="8"/>
  <c r="F123" i="10"/>
  <c r="F52" i="8"/>
  <c r="F53" i="8" s="1"/>
  <c r="P100" i="8"/>
  <c r="F96" i="6"/>
  <c r="F91" i="8" s="1"/>
  <c r="F92" i="8" s="1"/>
  <c r="F96" i="8" s="1"/>
  <c r="Q13" i="6"/>
  <c r="Q15" i="6"/>
  <c r="Q23" i="5"/>
  <c r="Q10" i="8" s="1"/>
  <c r="X13" i="6"/>
  <c r="X15" i="6"/>
  <c r="X23" i="5"/>
  <c r="X10" i="8" s="1"/>
  <c r="P106" i="8"/>
  <c r="S106" i="8"/>
  <c r="S100" i="8"/>
  <c r="O96" i="6"/>
  <c r="O91" i="8" s="1"/>
  <c r="O92" i="8" s="1"/>
  <c r="W13" i="6"/>
  <c r="W15" i="6"/>
  <c r="W23" i="5"/>
  <c r="W10" i="8" s="1"/>
  <c r="V13" i="6"/>
  <c r="V15" i="6"/>
  <c r="V23" i="5"/>
  <c r="V10" i="8" s="1"/>
  <c r="O146" i="8"/>
  <c r="F102" i="6"/>
  <c r="H92" i="8"/>
  <c r="H96" i="8" s="1"/>
  <c r="H106" i="8" s="1"/>
  <c r="S13" i="6"/>
  <c r="S15" i="6"/>
  <c r="S23" i="5"/>
  <c r="S10" i="8" s="1"/>
  <c r="O13" i="6"/>
  <c r="O15" i="6"/>
  <c r="O23" i="5"/>
  <c r="O10" i="8" s="1"/>
  <c r="W100" i="8"/>
  <c r="Q96" i="6"/>
  <c r="Q91" i="8" s="1"/>
  <c r="Q92" i="8" s="1"/>
  <c r="Q96" i="8" s="1"/>
  <c r="D92" i="8"/>
  <c r="D96" i="8" s="1"/>
  <c r="D106" i="8" s="1"/>
  <c r="R146" i="8"/>
  <c r="W106" i="8"/>
  <c r="F114" i="4"/>
  <c r="F115" i="4" s="1"/>
  <c r="F97" i="7"/>
  <c r="F94" i="8" s="1"/>
  <c r="D24" i="9"/>
  <c r="D13" i="6"/>
  <c r="D15" i="6"/>
  <c r="D23" i="5"/>
  <c r="E66" i="8"/>
  <c r="J146" i="8"/>
  <c r="H93" i="7"/>
  <c r="H95" i="7" s="1"/>
  <c r="I90" i="7" s="1"/>
  <c r="G108" i="8"/>
  <c r="G96" i="7"/>
  <c r="G98" i="7"/>
  <c r="G132" i="8" s="1"/>
  <c r="L146" i="8"/>
  <c r="N96" i="6"/>
  <c r="N91" i="8" s="1"/>
  <c r="V96" i="6"/>
  <c r="V91" i="8" s="1"/>
  <c r="V92" i="8" s="1"/>
  <c r="V96" i="8" s="1"/>
  <c r="F34" i="4" l="1"/>
  <c r="F35" i="4" s="1"/>
  <c r="F17" i="7"/>
  <c r="F14" i="8" s="1"/>
  <c r="J66" i="8"/>
  <c r="T16" i="6"/>
  <c r="T11" i="8" s="1"/>
  <c r="T12" i="8" s="1"/>
  <c r="R16" i="6"/>
  <c r="R11" i="8" s="1"/>
  <c r="R12" i="8" s="1"/>
  <c r="R16" i="8" s="1"/>
  <c r="R26" i="8" s="1"/>
  <c r="L16" i="6"/>
  <c r="L11" i="8" s="1"/>
  <c r="L12" i="8" s="1"/>
  <c r="L16" i="8" s="1"/>
  <c r="L26" i="8" s="1"/>
  <c r="L50" i="8" s="1"/>
  <c r="G14" i="7"/>
  <c r="G15" i="7"/>
  <c r="H10" i="7" s="1"/>
  <c r="H13" i="7" s="1"/>
  <c r="H14" i="7" s="1"/>
  <c r="J12" i="8"/>
  <c r="J16" i="8" s="1"/>
  <c r="J26" i="8" s="1"/>
  <c r="AB56" i="8"/>
  <c r="AB50" i="8"/>
  <c r="AA136" i="8"/>
  <c r="AA137" i="8" s="1"/>
  <c r="AB138" i="8" s="1"/>
  <c r="AA130" i="8"/>
  <c r="Z16" i="6"/>
  <c r="Z11" i="8" s="1"/>
  <c r="Z12" i="8" s="1"/>
  <c r="Z16" i="8" s="1"/>
  <c r="R66" i="8"/>
  <c r="AB20" i="8"/>
  <c r="H66" i="8"/>
  <c r="Y100" i="8"/>
  <c r="AC56" i="8"/>
  <c r="AC50" i="8"/>
  <c r="AC130" i="8"/>
  <c r="AC136" i="8"/>
  <c r="AE137" i="8"/>
  <c r="AF138" i="8"/>
  <c r="AF137" i="8"/>
  <c r="AD137" i="8"/>
  <c r="AE138" i="8" s="1"/>
  <c r="Z137" i="8"/>
  <c r="AA138" i="8" s="1"/>
  <c r="Y57" i="8"/>
  <c r="AG138" i="8"/>
  <c r="AG137" i="8"/>
  <c r="AH138" i="8" s="1"/>
  <c r="AH137" i="8"/>
  <c r="AG56" i="8"/>
  <c r="AG50" i="8"/>
  <c r="AH57" i="8"/>
  <c r="Z26" i="8"/>
  <c r="AA26" i="8"/>
  <c r="Y130" i="8"/>
  <c r="Y136" i="8"/>
  <c r="AC20" i="8"/>
  <c r="AA20" i="8"/>
  <c r="AD26" i="8"/>
  <c r="AB57" i="8"/>
  <c r="AF56" i="8"/>
  <c r="AF50" i="8"/>
  <c r="G102" i="6"/>
  <c r="Z20" i="8"/>
  <c r="AD20" i="8"/>
  <c r="P16" i="6"/>
  <c r="P11" i="8" s="1"/>
  <c r="P12" i="8" s="1"/>
  <c r="P16" i="8" s="1"/>
  <c r="W66" i="8"/>
  <c r="P66" i="8"/>
  <c r="O66" i="8"/>
  <c r="X106" i="8"/>
  <c r="X136" i="8" s="1"/>
  <c r="X100" i="8"/>
  <c r="F16" i="6"/>
  <c r="F11" i="8" s="1"/>
  <c r="F12" i="8" s="1"/>
  <c r="F16" i="8" s="1"/>
  <c r="F26" i="8" s="1"/>
  <c r="F66" i="8"/>
  <c r="D66" i="8"/>
  <c r="N66" i="8"/>
  <c r="G66" i="8"/>
  <c r="I16" i="6"/>
  <c r="I11" i="8" s="1"/>
  <c r="I12" i="8" s="1"/>
  <c r="I16" i="8" s="1"/>
  <c r="V66" i="8"/>
  <c r="G97" i="7"/>
  <c r="G94" i="8" s="1"/>
  <c r="L100" i="8"/>
  <c r="G16" i="6"/>
  <c r="G11" i="8" s="1"/>
  <c r="G12" i="8" s="1"/>
  <c r="G16" i="8" s="1"/>
  <c r="G26" i="8" s="1"/>
  <c r="G50" i="8" s="1"/>
  <c r="X66" i="8"/>
  <c r="D100" i="8"/>
  <c r="Q66" i="8"/>
  <c r="I100" i="8"/>
  <c r="K20" i="8"/>
  <c r="I106" i="8"/>
  <c r="I136" i="8" s="1"/>
  <c r="R100" i="8"/>
  <c r="U26" i="8"/>
  <c r="U50" i="8" s="1"/>
  <c r="K100" i="8"/>
  <c r="U100" i="8"/>
  <c r="J100" i="8"/>
  <c r="S16" i="6"/>
  <c r="S11" i="8" s="1"/>
  <c r="S12" i="8" s="1"/>
  <c r="S16" i="8" s="1"/>
  <c r="S26" i="8" s="1"/>
  <c r="E20" i="8"/>
  <c r="G100" i="8"/>
  <c r="J20" i="8"/>
  <c r="U20" i="8"/>
  <c r="I93" i="7"/>
  <c r="M50" i="8"/>
  <c r="M56" i="8"/>
  <c r="O96" i="8"/>
  <c r="O100" i="8"/>
  <c r="H130" i="8"/>
  <c r="H136" i="8"/>
  <c r="S66" i="8"/>
  <c r="Q100" i="8"/>
  <c r="F106" i="8"/>
  <c r="E100" i="8"/>
  <c r="Q106" i="8"/>
  <c r="M20" i="8"/>
  <c r="F100" i="8"/>
  <c r="B24" i="9"/>
  <c r="D10" i="8"/>
  <c r="E106" i="8"/>
  <c r="R106" i="8"/>
  <c r="W136" i="8"/>
  <c r="W130" i="8"/>
  <c r="G136" i="8"/>
  <c r="G130" i="8"/>
  <c r="E26" i="8"/>
  <c r="V16" i="6"/>
  <c r="V11" i="8" s="1"/>
  <c r="S130" i="8"/>
  <c r="S136" i="8"/>
  <c r="K26" i="8"/>
  <c r="K130" i="8"/>
  <c r="K136" i="8"/>
  <c r="M137" i="8"/>
  <c r="D129" i="8"/>
  <c r="D130" i="8"/>
  <c r="D136" i="8"/>
  <c r="O16" i="6"/>
  <c r="O11" i="8" s="1"/>
  <c r="P130" i="8"/>
  <c r="P136" i="8"/>
  <c r="Q16" i="6"/>
  <c r="Q11" i="8" s="1"/>
  <c r="Q12" i="8" s="1"/>
  <c r="Q16" i="8" s="1"/>
  <c r="D16" i="6"/>
  <c r="D11" i="8" s="1"/>
  <c r="H100" i="8"/>
  <c r="G114" i="4"/>
  <c r="G115" i="4" s="1"/>
  <c r="H94" i="7"/>
  <c r="H98" i="7" s="1"/>
  <c r="R20" i="8"/>
  <c r="G133" i="8"/>
  <c r="L130" i="8"/>
  <c r="L136" i="8"/>
  <c r="V106" i="8"/>
  <c r="W16" i="6"/>
  <c r="W11" i="8" s="1"/>
  <c r="W12" i="8" s="1"/>
  <c r="W16" i="8" s="1"/>
  <c r="N12" i="8"/>
  <c r="N16" i="8" s="1"/>
  <c r="N26" i="8" s="1"/>
  <c r="V100" i="8"/>
  <c r="H12" i="8"/>
  <c r="T137" i="8"/>
  <c r="H109" i="8"/>
  <c r="X16" i="6"/>
  <c r="X11" i="8" s="1"/>
  <c r="N92" i="8"/>
  <c r="N96" i="8" s="1"/>
  <c r="N106" i="8" s="1"/>
  <c r="B95" i="4"/>
  <c r="U106" i="8"/>
  <c r="J106" i="8"/>
  <c r="H15" i="7" l="1"/>
  <c r="I10" i="7" s="1"/>
  <c r="H29" i="8"/>
  <c r="T16" i="8"/>
  <c r="T26" i="8" s="1"/>
  <c r="T50" i="8" s="1"/>
  <c r="T20" i="8"/>
  <c r="G16" i="7"/>
  <c r="G28" i="8"/>
  <c r="G18" i="7"/>
  <c r="L56" i="8"/>
  <c r="L57" i="8" s="1"/>
  <c r="M58" i="8" s="1"/>
  <c r="P20" i="8"/>
  <c r="L20" i="8"/>
  <c r="AD50" i="8"/>
  <c r="AD56" i="8"/>
  <c r="AG57" i="8"/>
  <c r="AH58" i="8" s="1"/>
  <c r="Y137" i="8"/>
  <c r="Z138" i="8" s="1"/>
  <c r="AA50" i="8"/>
  <c r="AA56" i="8"/>
  <c r="AC137" i="8"/>
  <c r="AD138" i="8" s="1"/>
  <c r="AC138" i="8"/>
  <c r="Z56" i="8"/>
  <c r="Z50" i="8"/>
  <c r="AF57" i="8"/>
  <c r="AG58" i="8" s="1"/>
  <c r="AF58" i="8"/>
  <c r="AC57" i="8"/>
  <c r="AC58" i="8"/>
  <c r="X130" i="8"/>
  <c r="F20" i="8"/>
  <c r="I26" i="8"/>
  <c r="I50" i="8" s="1"/>
  <c r="I20" i="8"/>
  <c r="T56" i="8"/>
  <c r="T57" i="8" s="1"/>
  <c r="G56" i="8"/>
  <c r="G57" i="8" s="1"/>
  <c r="I130" i="8"/>
  <c r="U56" i="8"/>
  <c r="U57" i="8" s="1"/>
  <c r="G20" i="8"/>
  <c r="S20" i="8"/>
  <c r="N100" i="8"/>
  <c r="Q26" i="8"/>
  <c r="Q56" i="8" s="1"/>
  <c r="Q20" i="8"/>
  <c r="O12" i="8"/>
  <c r="O16" i="8" s="1"/>
  <c r="O26" i="8" s="1"/>
  <c r="N136" i="8"/>
  <c r="N130" i="8"/>
  <c r="W26" i="8"/>
  <c r="P137" i="8"/>
  <c r="S137" i="8"/>
  <c r="T138" i="8" s="1"/>
  <c r="W20" i="8"/>
  <c r="E56" i="8"/>
  <c r="E50" i="8"/>
  <c r="W137" i="8"/>
  <c r="X138" i="8" s="1"/>
  <c r="V12" i="8"/>
  <c r="V16" i="8" s="1"/>
  <c r="V26" i="8" s="1"/>
  <c r="H17" i="7"/>
  <c r="H14" i="8" s="1"/>
  <c r="H28" i="8"/>
  <c r="X12" i="8"/>
  <c r="X137" i="8"/>
  <c r="Y138" i="8" s="1"/>
  <c r="J50" i="8"/>
  <c r="J56" i="8"/>
  <c r="P26" i="8"/>
  <c r="H18" i="7"/>
  <c r="O106" i="8"/>
  <c r="B96" i="4"/>
  <c r="B103" i="4"/>
  <c r="Q130" i="8"/>
  <c r="Q136" i="8"/>
  <c r="U130" i="8"/>
  <c r="U136" i="8"/>
  <c r="I13" i="7"/>
  <c r="R50" i="8"/>
  <c r="R56" i="8"/>
  <c r="K137" i="8"/>
  <c r="L138" i="8" s="1"/>
  <c r="M57" i="8"/>
  <c r="N50" i="8"/>
  <c r="N56" i="8"/>
  <c r="R130" i="8"/>
  <c r="R136" i="8"/>
  <c r="S56" i="8"/>
  <c r="S50" i="8"/>
  <c r="V130" i="8"/>
  <c r="V136" i="8"/>
  <c r="K50" i="8"/>
  <c r="K56" i="8"/>
  <c r="E130" i="8"/>
  <c r="E136" i="8"/>
  <c r="I137" i="8"/>
  <c r="D137" i="8"/>
  <c r="D138" i="8"/>
  <c r="G137" i="8"/>
  <c r="H138" i="8" s="1"/>
  <c r="D131" i="8"/>
  <c r="H137" i="8"/>
  <c r="I138" i="8" s="1"/>
  <c r="I109" i="8"/>
  <c r="H16" i="8"/>
  <c r="H20" i="8"/>
  <c r="J130" i="8"/>
  <c r="J136" i="8"/>
  <c r="L137" i="8"/>
  <c r="M138" i="8" s="1"/>
  <c r="H97" i="7"/>
  <c r="H94" i="8" s="1"/>
  <c r="H108" i="8"/>
  <c r="N20" i="8"/>
  <c r="D12" i="8"/>
  <c r="D16" i="8" s="1"/>
  <c r="D26" i="8" s="1"/>
  <c r="I95" i="7"/>
  <c r="J90" i="7" s="1"/>
  <c r="F56" i="8"/>
  <c r="F50" i="8"/>
  <c r="D134" i="8"/>
  <c r="E129" i="8"/>
  <c r="E134" i="8" s="1"/>
  <c r="F136" i="8"/>
  <c r="F130" i="8"/>
  <c r="I94" i="7"/>
  <c r="F124" i="10" l="1"/>
  <c r="G52" i="8"/>
  <c r="G53" i="8" s="1"/>
  <c r="G22" i="6"/>
  <c r="B15" i="4"/>
  <c r="G34" i="4"/>
  <c r="G35" i="4" s="1"/>
  <c r="G17" i="7"/>
  <c r="G14" i="8" s="1"/>
  <c r="AA57" i="8"/>
  <c r="AB58" i="8" s="1"/>
  <c r="Z58" i="8"/>
  <c r="Z57" i="8"/>
  <c r="AA58" i="8" s="1"/>
  <c r="Y100" i="6"/>
  <c r="Z100" i="6"/>
  <c r="AB100" i="6"/>
  <c r="AE100" i="6"/>
  <c r="AA100" i="6"/>
  <c r="AD100" i="6"/>
  <c r="AF100" i="6"/>
  <c r="AH100" i="6"/>
  <c r="AC100" i="6"/>
  <c r="AG100" i="6"/>
  <c r="AD58" i="8"/>
  <c r="AD57" i="8"/>
  <c r="AE58" i="8" s="1"/>
  <c r="AE20" i="6"/>
  <c r="AH20" i="6"/>
  <c r="Z20" i="6"/>
  <c r="AB20" i="6"/>
  <c r="AC20" i="6"/>
  <c r="AD20" i="6"/>
  <c r="AG20" i="6"/>
  <c r="Y20" i="6"/>
  <c r="AF20" i="6"/>
  <c r="AA20" i="6"/>
  <c r="U58" i="8"/>
  <c r="I56" i="8"/>
  <c r="I57" i="8" s="1"/>
  <c r="J58" i="8" s="1"/>
  <c r="Q50" i="8"/>
  <c r="V20" i="8"/>
  <c r="O20" i="8"/>
  <c r="D56" i="8"/>
  <c r="D50" i="8"/>
  <c r="D49" i="8"/>
  <c r="B104" i="4"/>
  <c r="D23" i="9" s="1"/>
  <c r="B102" i="4"/>
  <c r="B98" i="4"/>
  <c r="D16" i="9" s="1"/>
  <c r="O130" i="8"/>
  <c r="O136" i="8"/>
  <c r="F125" i="10"/>
  <c r="V50" i="8"/>
  <c r="V56" i="8"/>
  <c r="H26" i="8"/>
  <c r="X16" i="8"/>
  <c r="X20" i="8"/>
  <c r="I29" i="8"/>
  <c r="P50" i="8"/>
  <c r="P56" i="8"/>
  <c r="W56" i="8"/>
  <c r="W50" i="8"/>
  <c r="R137" i="8"/>
  <c r="S138" i="8" s="1"/>
  <c r="I14" i="7"/>
  <c r="I18" i="7" s="1"/>
  <c r="J137" i="8"/>
  <c r="K138" i="8" s="1"/>
  <c r="J138" i="8"/>
  <c r="D6" i="9"/>
  <c r="E34" i="9" s="1"/>
  <c r="F57" i="8"/>
  <c r="G58" i="8" s="1"/>
  <c r="D20" i="8"/>
  <c r="O56" i="8"/>
  <c r="O50" i="8"/>
  <c r="U137" i="8"/>
  <c r="V138" i="8" s="1"/>
  <c r="U138" i="8"/>
  <c r="D8" i="9"/>
  <c r="E36" i="9" s="1"/>
  <c r="I97" i="7"/>
  <c r="I94" i="8" s="1"/>
  <c r="I108" i="8"/>
  <c r="I15" i="7"/>
  <c r="J10" i="7" s="1"/>
  <c r="D135" i="8"/>
  <c r="E131" i="8"/>
  <c r="E135" i="8" s="1"/>
  <c r="N57" i="8"/>
  <c r="N58" i="8"/>
  <c r="E137" i="8"/>
  <c r="F138" i="8" s="1"/>
  <c r="E138" i="8"/>
  <c r="K57" i="8"/>
  <c r="L58" i="8" s="1"/>
  <c r="J93" i="7"/>
  <c r="J95" i="7" s="1"/>
  <c r="K90" i="7" s="1"/>
  <c r="R57" i="8"/>
  <c r="S58" i="8" s="1"/>
  <c r="Q138" i="8"/>
  <c r="Q137" i="8"/>
  <c r="R138" i="8" s="1"/>
  <c r="N137" i="8"/>
  <c r="N138" i="8"/>
  <c r="V137" i="8"/>
  <c r="W138" i="8" s="1"/>
  <c r="J57" i="8"/>
  <c r="K58" i="8" s="1"/>
  <c r="Q57" i="8"/>
  <c r="R58" i="8" s="1"/>
  <c r="E57" i="8"/>
  <c r="F58" i="8" s="1"/>
  <c r="S57" i="8"/>
  <c r="T58" i="8" s="1"/>
  <c r="I98" i="7"/>
  <c r="F137" i="8"/>
  <c r="G138" i="8" s="1"/>
  <c r="F129" i="8"/>
  <c r="R100" i="6"/>
  <c r="M100" i="6"/>
  <c r="Q100" i="6"/>
  <c r="S100" i="6"/>
  <c r="U100" i="6"/>
  <c r="X100" i="6"/>
  <c r="W100" i="6"/>
  <c r="V100" i="6"/>
  <c r="L100" i="6"/>
  <c r="T100" i="6"/>
  <c r="O100" i="6"/>
  <c r="I100" i="6"/>
  <c r="K100" i="6"/>
  <c r="N100" i="6"/>
  <c r="J100" i="6"/>
  <c r="P100" i="6"/>
  <c r="H100" i="6"/>
  <c r="B23" i="4" l="1"/>
  <c r="B16" i="4"/>
  <c r="AG18" i="6"/>
  <c r="AF18" i="6"/>
  <c r="AE18" i="6"/>
  <c r="AE13" i="8" s="1"/>
  <c r="AH18" i="6"/>
  <c r="AH13" i="8" s="1"/>
  <c r="Z18" i="6"/>
  <c r="Z13" i="8" s="1"/>
  <c r="AA18" i="6"/>
  <c r="AA13" i="8" s="1"/>
  <c r="AB18" i="6"/>
  <c r="AB13" i="8" s="1"/>
  <c r="AD18" i="6"/>
  <c r="AD13" i="8" s="1"/>
  <c r="Y18" i="6"/>
  <c r="Y13" i="8" s="1"/>
  <c r="AC18" i="6"/>
  <c r="AC13" i="8" s="1"/>
  <c r="AG102" i="6"/>
  <c r="AC102" i="6"/>
  <c r="AH102" i="6"/>
  <c r="AF102" i="6"/>
  <c r="AA22" i="6"/>
  <c r="AD102" i="6"/>
  <c r="AF22" i="6"/>
  <c r="AB102" i="6"/>
  <c r="AD22" i="6"/>
  <c r="Z102" i="6"/>
  <c r="AA102" i="6"/>
  <c r="AE102" i="6"/>
  <c r="AC22" i="6"/>
  <c r="Y102" i="6"/>
  <c r="AC98" i="6"/>
  <c r="AF98" i="6"/>
  <c r="AF93" i="8" s="1"/>
  <c r="AB98" i="6"/>
  <c r="AB93" i="8" s="1"/>
  <c r="AG98" i="6"/>
  <c r="AA98" i="6"/>
  <c r="AA93" i="8" s="1"/>
  <c r="Y98" i="6"/>
  <c r="Y93" i="8" s="1"/>
  <c r="Z98" i="6"/>
  <c r="Z93" i="8" s="1"/>
  <c r="AD98" i="6"/>
  <c r="AD93" i="8" s="1"/>
  <c r="AE98" i="6"/>
  <c r="AH98" i="6"/>
  <c r="AB22" i="6"/>
  <c r="Z22" i="6"/>
  <c r="Y22" i="6"/>
  <c r="AG22" i="6"/>
  <c r="AH22" i="6"/>
  <c r="AE22" i="6"/>
  <c r="M102" i="6"/>
  <c r="P102" i="6"/>
  <c r="W57" i="8"/>
  <c r="O138" i="8"/>
  <c r="O137" i="8"/>
  <c r="P138" i="8" s="1"/>
  <c r="P57" i="8"/>
  <c r="Q58" i="8" s="1"/>
  <c r="J102" i="6"/>
  <c r="H102" i="6"/>
  <c r="S102" i="6"/>
  <c r="K102" i="6"/>
  <c r="Q102" i="6"/>
  <c r="W102" i="6"/>
  <c r="L102" i="6"/>
  <c r="X102" i="6"/>
  <c r="X105" i="6" s="1"/>
  <c r="V102" i="6"/>
  <c r="T102" i="6"/>
  <c r="U102" i="6"/>
  <c r="G129" i="8"/>
  <c r="O58" i="8"/>
  <c r="O57" i="8"/>
  <c r="P58" i="8" s="1"/>
  <c r="R102" i="6"/>
  <c r="F134" i="8"/>
  <c r="D98" i="6"/>
  <c r="M98" i="6"/>
  <c r="M93" i="8" s="1"/>
  <c r="H98" i="6"/>
  <c r="H93" i="8" s="1"/>
  <c r="H95" i="8" s="1"/>
  <c r="L98" i="6"/>
  <c r="L93" i="8" s="1"/>
  <c r="F98" i="6"/>
  <c r="W98" i="6"/>
  <c r="W93" i="8" s="1"/>
  <c r="U98" i="6"/>
  <c r="U93" i="8" s="1"/>
  <c r="K98" i="6"/>
  <c r="X98" i="6"/>
  <c r="X93" i="8" s="1"/>
  <c r="E98" i="6"/>
  <c r="V98" i="6"/>
  <c r="V93" i="8" s="1"/>
  <c r="I98" i="6"/>
  <c r="I93" i="8" s="1"/>
  <c r="I95" i="8" s="1"/>
  <c r="G98" i="6"/>
  <c r="G93" i="8" s="1"/>
  <c r="G95" i="8" s="1"/>
  <c r="Q98" i="6"/>
  <c r="P98" i="6"/>
  <c r="N98" i="6"/>
  <c r="R98" i="6"/>
  <c r="R93" i="8" s="1"/>
  <c r="O98" i="6"/>
  <c r="J98" i="6"/>
  <c r="T98" i="6"/>
  <c r="T93" i="8" s="1"/>
  <c r="S98" i="6"/>
  <c r="S93" i="8" s="1"/>
  <c r="N102" i="6"/>
  <c r="F126" i="10"/>
  <c r="E21" i="10"/>
  <c r="F36" i="9"/>
  <c r="F21" i="10" s="1"/>
  <c r="G121" i="10"/>
  <c r="E49" i="8"/>
  <c r="D54" i="8"/>
  <c r="E19" i="10"/>
  <c r="F34" i="9"/>
  <c r="X26" i="8"/>
  <c r="B6" i="9" s="1"/>
  <c r="B34" i="9" s="1"/>
  <c r="D51" i="8"/>
  <c r="J13" i="7"/>
  <c r="J15" i="7" s="1"/>
  <c r="K10" i="7" s="1"/>
  <c r="H56" i="8"/>
  <c r="H50" i="8"/>
  <c r="D57" i="8"/>
  <c r="E58" i="8" s="1"/>
  <c r="D58" i="8"/>
  <c r="I102" i="6"/>
  <c r="F131" i="8"/>
  <c r="F135" i="8" s="1"/>
  <c r="J109" i="8"/>
  <c r="I17" i="7"/>
  <c r="I14" i="8" s="1"/>
  <c r="I28" i="8"/>
  <c r="O102" i="6"/>
  <c r="V57" i="8"/>
  <c r="W58" i="8" s="1"/>
  <c r="V58" i="8"/>
  <c r="K93" i="7"/>
  <c r="J94" i="7"/>
  <c r="B8" i="9" l="1"/>
  <c r="B36" i="9" s="1"/>
  <c r="D36" i="9" s="1"/>
  <c r="D21" i="10" s="1"/>
  <c r="B18" i="4"/>
  <c r="B24" i="4"/>
  <c r="B23" i="9" s="1"/>
  <c r="B22" i="4"/>
  <c r="J20" i="6"/>
  <c r="Q20" i="6"/>
  <c r="I20" i="6"/>
  <c r="M20" i="6"/>
  <c r="O20" i="6"/>
  <c r="W20" i="6"/>
  <c r="K20" i="6"/>
  <c r="H20" i="6"/>
  <c r="L20" i="6"/>
  <c r="U20" i="6"/>
  <c r="N20" i="6"/>
  <c r="T20" i="6"/>
  <c r="P20" i="6"/>
  <c r="R20" i="6"/>
  <c r="S20" i="6"/>
  <c r="V20" i="6"/>
  <c r="X20" i="6"/>
  <c r="AG93" i="8"/>
  <c r="AG103" i="6"/>
  <c r="AC93" i="8"/>
  <c r="AC103" i="6"/>
  <c r="AA23" i="6"/>
  <c r="AD23" i="6"/>
  <c r="AE23" i="6"/>
  <c r="Y23" i="6"/>
  <c r="AC23" i="6"/>
  <c r="AH23" i="6"/>
  <c r="Z23" i="6"/>
  <c r="AB23" i="6"/>
  <c r="Y103" i="6"/>
  <c r="Z103" i="6"/>
  <c r="AD103" i="6"/>
  <c r="AF103" i="6"/>
  <c r="AB103" i="6"/>
  <c r="AA103" i="6"/>
  <c r="AH93" i="8"/>
  <c r="AH103" i="6"/>
  <c r="AF13" i="8"/>
  <c r="AF23" i="6"/>
  <c r="AE93" i="8"/>
  <c r="AE103" i="6"/>
  <c r="AG13" i="8"/>
  <c r="AG23" i="6"/>
  <c r="D25" i="9"/>
  <c r="K13" i="7"/>
  <c r="O93" i="8"/>
  <c r="O103" i="6"/>
  <c r="F19" i="10"/>
  <c r="D103" i="6"/>
  <c r="D93" i="8"/>
  <c r="D95" i="8" s="1"/>
  <c r="S103" i="6"/>
  <c r="T103" i="6"/>
  <c r="I103" i="6"/>
  <c r="G103" i="6"/>
  <c r="L103" i="6"/>
  <c r="M103" i="6"/>
  <c r="W103" i="6"/>
  <c r="U103" i="6"/>
  <c r="H103" i="6"/>
  <c r="X103" i="6"/>
  <c r="R103" i="6"/>
  <c r="V103" i="6"/>
  <c r="B19" i="10"/>
  <c r="D34" i="9"/>
  <c r="J97" i="7"/>
  <c r="J94" i="8" s="1"/>
  <c r="J108" i="8"/>
  <c r="P93" i="8"/>
  <c r="P103" i="6"/>
  <c r="G131" i="8"/>
  <c r="G135" i="8" s="1"/>
  <c r="G122" i="10"/>
  <c r="F49" i="8"/>
  <c r="Q93" i="8"/>
  <c r="Q103" i="6"/>
  <c r="X50" i="8"/>
  <c r="X56" i="8"/>
  <c r="E54" i="8"/>
  <c r="G97" i="8"/>
  <c r="G110" i="8" s="1"/>
  <c r="G111" i="8" s="1"/>
  <c r="G99" i="8"/>
  <c r="K109" i="8"/>
  <c r="I97" i="8"/>
  <c r="I110" i="8" s="1"/>
  <c r="I111" i="8" s="1"/>
  <c r="I99" i="8"/>
  <c r="I132" i="8" s="1"/>
  <c r="I133" i="8" s="1"/>
  <c r="J29" i="8"/>
  <c r="H129" i="8"/>
  <c r="J93" i="8"/>
  <c r="J103" i="6"/>
  <c r="J14" i="7"/>
  <c r="E103" i="6"/>
  <c r="E93" i="8"/>
  <c r="E95" i="8" s="1"/>
  <c r="G134" i="8"/>
  <c r="H57" i="8"/>
  <c r="I58" i="8" s="1"/>
  <c r="H58" i="8"/>
  <c r="K93" i="8"/>
  <c r="K103" i="6"/>
  <c r="N93" i="8"/>
  <c r="N103" i="6"/>
  <c r="K95" i="7"/>
  <c r="L90" i="7" s="1"/>
  <c r="H97" i="8"/>
  <c r="H110" i="8" s="1"/>
  <c r="H111" i="8" s="1"/>
  <c r="H99" i="8"/>
  <c r="H132" i="8" s="1"/>
  <c r="J98" i="7"/>
  <c r="K94" i="7"/>
  <c r="K98" i="7" s="1"/>
  <c r="H121" i="10"/>
  <c r="D55" i="8"/>
  <c r="E51" i="8"/>
  <c r="E55" i="8" s="1"/>
  <c r="F103" i="6"/>
  <c r="F93" i="8"/>
  <c r="F95" i="8" s="1"/>
  <c r="B21" i="10" l="1"/>
  <c r="W22" i="6"/>
  <c r="H22" i="6"/>
  <c r="M22" i="6"/>
  <c r="Q22" i="6"/>
  <c r="S22" i="6"/>
  <c r="L22" i="6"/>
  <c r="T22" i="6"/>
  <c r="X22" i="6"/>
  <c r="X25" i="6" s="1"/>
  <c r="P22" i="6"/>
  <c r="V22" i="6"/>
  <c r="J22" i="6"/>
  <c r="K22" i="6"/>
  <c r="O22" i="6"/>
  <c r="I22" i="6"/>
  <c r="R22" i="6"/>
  <c r="N22" i="6"/>
  <c r="U22" i="6"/>
  <c r="M18" i="6"/>
  <c r="M13" i="8" s="1"/>
  <c r="O18" i="6"/>
  <c r="O13" i="8" s="1"/>
  <c r="N18" i="6"/>
  <c r="N13" i="8" s="1"/>
  <c r="S18" i="6"/>
  <c r="S13" i="8" s="1"/>
  <c r="R18" i="6"/>
  <c r="R13" i="8" s="1"/>
  <c r="I18" i="6"/>
  <c r="I13" i="8" s="1"/>
  <c r="I15" i="8" s="1"/>
  <c r="I19" i="8" s="1"/>
  <c r="Q18" i="6"/>
  <c r="Q13" i="8" s="1"/>
  <c r="L18" i="6"/>
  <c r="L13" i="8" s="1"/>
  <c r="P18" i="6"/>
  <c r="P13" i="8" s="1"/>
  <c r="J18" i="6"/>
  <c r="J13" i="8" s="1"/>
  <c r="D18" i="6"/>
  <c r="F18" i="6"/>
  <c r="F13" i="8" s="1"/>
  <c r="F15" i="8" s="1"/>
  <c r="H18" i="6"/>
  <c r="H13" i="8" s="1"/>
  <c r="H15" i="8" s="1"/>
  <c r="H17" i="8" s="1"/>
  <c r="H30" i="8" s="1"/>
  <c r="H31" i="8" s="1"/>
  <c r="E18" i="6"/>
  <c r="E13" i="8" s="1"/>
  <c r="E15" i="8" s="1"/>
  <c r="X18" i="6"/>
  <c r="X13" i="8" s="1"/>
  <c r="T18" i="6"/>
  <c r="T13" i="8" s="1"/>
  <c r="W18" i="6"/>
  <c r="W13" i="8" s="1"/>
  <c r="U18" i="6"/>
  <c r="U13" i="8" s="1"/>
  <c r="V18" i="6"/>
  <c r="V13" i="8" s="1"/>
  <c r="K18" i="6"/>
  <c r="K13" i="8" s="1"/>
  <c r="G18" i="6"/>
  <c r="G13" i="8" s="1"/>
  <c r="G15" i="8" s="1"/>
  <c r="B16" i="9"/>
  <c r="B11" i="10" s="1"/>
  <c r="D61" i="10"/>
  <c r="D64" i="10"/>
  <c r="J95" i="8"/>
  <c r="J97" i="8" s="1"/>
  <c r="J110" i="8" s="1"/>
  <c r="J111" i="8" s="1"/>
  <c r="I98" i="8"/>
  <c r="H98" i="8"/>
  <c r="G98" i="8"/>
  <c r="J17" i="7"/>
  <c r="J14" i="8" s="1"/>
  <c r="J28" i="8"/>
  <c r="I129" i="8"/>
  <c r="I134" i="8" s="1"/>
  <c r="X57" i="8"/>
  <c r="Y58" i="8" s="1"/>
  <c r="X58" i="8"/>
  <c r="B25" i="9" s="1"/>
  <c r="D97" i="8"/>
  <c r="D110" i="8" s="1"/>
  <c r="D111" i="8" s="1"/>
  <c r="D99" i="8"/>
  <c r="D19" i="10"/>
  <c r="H134" i="8"/>
  <c r="F97" i="8"/>
  <c r="F110" i="8" s="1"/>
  <c r="F111" i="8" s="1"/>
  <c r="F99" i="8"/>
  <c r="J18" i="7"/>
  <c r="G123" i="10"/>
  <c r="G49" i="8"/>
  <c r="G54" i="8" s="1"/>
  <c r="F54" i="8"/>
  <c r="E97" i="8"/>
  <c r="E110" i="8" s="1"/>
  <c r="E111" i="8" s="1"/>
  <c r="E99" i="8"/>
  <c r="H131" i="8"/>
  <c r="K29" i="8"/>
  <c r="H133" i="8"/>
  <c r="L93" i="7"/>
  <c r="L95" i="7" s="1"/>
  <c r="M90" i="7" s="1"/>
  <c r="K15" i="7"/>
  <c r="L10" i="7" s="1"/>
  <c r="K97" i="7"/>
  <c r="K94" i="8" s="1"/>
  <c r="K95" i="8" s="1"/>
  <c r="K108" i="8"/>
  <c r="H122" i="10"/>
  <c r="F51" i="8"/>
  <c r="F55" i="8" s="1"/>
  <c r="K14" i="7"/>
  <c r="J99" i="8" l="1"/>
  <c r="J132" i="8" s="1"/>
  <c r="J133" i="8" s="1"/>
  <c r="H19" i="8"/>
  <c r="I17" i="8"/>
  <c r="I30" i="8" s="1"/>
  <c r="I31" i="8" s="1"/>
  <c r="I23" i="6"/>
  <c r="W23" i="6"/>
  <c r="Q23" i="6"/>
  <c r="T23" i="6"/>
  <c r="S23" i="6"/>
  <c r="N23" i="6"/>
  <c r="H23" i="6"/>
  <c r="E23" i="6"/>
  <c r="J23" i="6"/>
  <c r="L23" i="6"/>
  <c r="V23" i="6"/>
  <c r="O23" i="6"/>
  <c r="X23" i="6"/>
  <c r="P23" i="6"/>
  <c r="R23" i="6"/>
  <c r="K23" i="6"/>
  <c r="D13" i="8"/>
  <c r="D15" i="8" s="1"/>
  <c r="M23" i="6"/>
  <c r="D23" i="6"/>
  <c r="F23" i="6"/>
  <c r="U23" i="6"/>
  <c r="G23" i="6"/>
  <c r="F17" i="8"/>
  <c r="F30" i="8" s="1"/>
  <c r="F31" i="8" s="1"/>
  <c r="F19" i="8"/>
  <c r="E123" i="10" s="1"/>
  <c r="G17" i="8"/>
  <c r="G30" i="8" s="1"/>
  <c r="G31" i="8" s="1"/>
  <c r="G19" i="8"/>
  <c r="E124" i="10" s="1"/>
  <c r="E19" i="8"/>
  <c r="E122" i="10" s="1"/>
  <c r="E17" i="8"/>
  <c r="E30" i="8" s="1"/>
  <c r="E31" i="8" s="1"/>
  <c r="J15" i="8"/>
  <c r="J17" i="8" s="1"/>
  <c r="J30" i="8" s="1"/>
  <c r="J31" i="8" s="1"/>
  <c r="H18" i="8"/>
  <c r="K97" i="8"/>
  <c r="K110" i="8" s="1"/>
  <c r="K111" i="8" s="1"/>
  <c r="K99" i="8"/>
  <c r="K132" i="8" s="1"/>
  <c r="K133" i="8" s="1"/>
  <c r="M93" i="7"/>
  <c r="D114" i="8"/>
  <c r="D121" i="8"/>
  <c r="D122" i="8" s="1"/>
  <c r="D127" i="8" s="1"/>
  <c r="D98" i="8"/>
  <c r="J129" i="8"/>
  <c r="F127" i="10"/>
  <c r="E125" i="10"/>
  <c r="H52" i="8"/>
  <c r="G124" i="10"/>
  <c r="H49" i="8"/>
  <c r="H54" i="8" s="1"/>
  <c r="L109" i="8"/>
  <c r="L94" i="7"/>
  <c r="E126" i="10"/>
  <c r="I52" i="8"/>
  <c r="I53" i="8" s="1"/>
  <c r="E98" i="8"/>
  <c r="K17" i="7"/>
  <c r="K14" i="8" s="1"/>
  <c r="K15" i="8" s="1"/>
  <c r="K28" i="8"/>
  <c r="H123" i="10"/>
  <c r="G51" i="8"/>
  <c r="K18" i="7"/>
  <c r="I131" i="8"/>
  <c r="I135" i="8" s="1"/>
  <c r="L13" i="7"/>
  <c r="F98" i="8"/>
  <c r="H135" i="8"/>
  <c r="J98" i="8"/>
  <c r="I18" i="8" l="1"/>
  <c r="F18" i="8"/>
  <c r="J19" i="8"/>
  <c r="E127" i="10" s="1"/>
  <c r="D17" i="8"/>
  <c r="D19" i="8"/>
  <c r="E121" i="10" s="1"/>
  <c r="E18" i="8"/>
  <c r="G18" i="8"/>
  <c r="J18" i="8"/>
  <c r="D125" i="8"/>
  <c r="L29" i="8"/>
  <c r="M109" i="8"/>
  <c r="M95" i="7"/>
  <c r="N90" i="7" s="1"/>
  <c r="H124" i="10"/>
  <c r="H51" i="8"/>
  <c r="H55" i="8" s="1"/>
  <c r="K17" i="8"/>
  <c r="K30" i="8" s="1"/>
  <c r="K31" i="8" s="1"/>
  <c r="K19" i="8"/>
  <c r="E128" i="10" s="1"/>
  <c r="D117" i="8"/>
  <c r="L97" i="7"/>
  <c r="L94" i="8" s="1"/>
  <c r="L95" i="8" s="1"/>
  <c r="L108" i="8"/>
  <c r="L15" i="7"/>
  <c r="M10" i="7" s="1"/>
  <c r="M94" i="7"/>
  <c r="G55" i="8"/>
  <c r="F128" i="10"/>
  <c r="L98" i="7"/>
  <c r="G125" i="10"/>
  <c r="I49" i="8"/>
  <c r="I54" i="8" s="1"/>
  <c r="J131" i="8"/>
  <c r="K129" i="8"/>
  <c r="H53" i="8"/>
  <c r="J52" i="8"/>
  <c r="J53" i="8" s="1"/>
  <c r="L14" i="7"/>
  <c r="L18" i="7" s="1"/>
  <c r="J134" i="8"/>
  <c r="K98" i="8"/>
  <c r="D30" i="8" l="1"/>
  <c r="D31" i="8" s="1"/>
  <c r="D18" i="8"/>
  <c r="K18" i="8"/>
  <c r="K52" i="8"/>
  <c r="K53" i="8" s="1"/>
  <c r="F129" i="10"/>
  <c r="H125" i="10"/>
  <c r="I51" i="8"/>
  <c r="I55" i="8" s="1"/>
  <c r="M13" i="7"/>
  <c r="M14" i="7" s="1"/>
  <c r="K131" i="8"/>
  <c r="E120" i="8"/>
  <c r="D126" i="8"/>
  <c r="M97" i="7"/>
  <c r="M94" i="8" s="1"/>
  <c r="M95" i="8" s="1"/>
  <c r="M108" i="8"/>
  <c r="L129" i="8"/>
  <c r="L134" i="8" s="1"/>
  <c r="N93" i="7"/>
  <c r="M98" i="7"/>
  <c r="K134" i="8"/>
  <c r="J135" i="8"/>
  <c r="L97" i="8"/>
  <c r="L110" i="8" s="1"/>
  <c r="L111" i="8" s="1"/>
  <c r="L99" i="8"/>
  <c r="L132" i="8" s="1"/>
  <c r="L133" i="8" s="1"/>
  <c r="G126" i="10"/>
  <c r="J49" i="8"/>
  <c r="J54" i="8" s="1"/>
  <c r="L28" i="8"/>
  <c r="L17" i="7"/>
  <c r="L14" i="8" s="1"/>
  <c r="L15" i="8" s="1"/>
  <c r="D41" i="8" l="1"/>
  <c r="D42" i="8" s="1"/>
  <c r="D34" i="8"/>
  <c r="D37" i="8" s="1"/>
  <c r="M17" i="7"/>
  <c r="M14" i="8" s="1"/>
  <c r="M15" i="8" s="1"/>
  <c r="M28" i="8"/>
  <c r="M18" i="7"/>
  <c r="M29" i="8"/>
  <c r="L17" i="8"/>
  <c r="L30" i="8" s="1"/>
  <c r="L31" i="8" s="1"/>
  <c r="L19" i="8"/>
  <c r="L131" i="8"/>
  <c r="M15" i="7"/>
  <c r="N10" i="7" s="1"/>
  <c r="N109" i="8"/>
  <c r="N94" i="7"/>
  <c r="N98" i="7" s="1"/>
  <c r="N95" i="7"/>
  <c r="H126" i="10"/>
  <c r="J51" i="8"/>
  <c r="J55" i="8" s="1"/>
  <c r="M129" i="8"/>
  <c r="G127" i="10"/>
  <c r="K49" i="8"/>
  <c r="K54" i="8" s="1"/>
  <c r="K135" i="8"/>
  <c r="L98" i="8"/>
  <c r="M97" i="8"/>
  <c r="M110" i="8" s="1"/>
  <c r="M111" i="8" s="1"/>
  <c r="M99" i="8"/>
  <c r="M132" i="8" s="1"/>
  <c r="M133" i="8" s="1"/>
  <c r="D45" i="8" l="1"/>
  <c r="D47" i="8"/>
  <c r="M98" i="8"/>
  <c r="N108" i="8"/>
  <c r="N97" i="7"/>
  <c r="N94" i="8" s="1"/>
  <c r="N95" i="8" s="1"/>
  <c r="M131" i="8"/>
  <c r="M135" i="8" s="1"/>
  <c r="L135" i="8"/>
  <c r="N129" i="8"/>
  <c r="N134" i="8" s="1"/>
  <c r="G128" i="10"/>
  <c r="L49" i="8"/>
  <c r="F130" i="10"/>
  <c r="M134" i="8"/>
  <c r="H127" i="10"/>
  <c r="K51" i="8"/>
  <c r="K55" i="8" s="1"/>
  <c r="O90" i="7"/>
  <c r="O93" i="7" s="1"/>
  <c r="O109" i="8" s="1"/>
  <c r="D15" i="9"/>
  <c r="E43" i="9" s="1"/>
  <c r="N99" i="7"/>
  <c r="N13" i="7"/>
  <c r="E129" i="10"/>
  <c r="L52" i="8"/>
  <c r="L53" i="8" s="1"/>
  <c r="L18" i="8"/>
  <c r="M17" i="8"/>
  <c r="M30" i="8" s="1"/>
  <c r="M31" i="8" s="1"/>
  <c r="M19" i="8"/>
  <c r="E130" i="10" s="1"/>
  <c r="D46" i="8" l="1"/>
  <c r="E40" i="8"/>
  <c r="N29" i="8"/>
  <c r="M18" i="8"/>
  <c r="G129" i="10"/>
  <c r="M49" i="8"/>
  <c r="L54" i="8"/>
  <c r="E28" i="10"/>
  <c r="F43" i="9"/>
  <c r="F28" i="10" s="1"/>
  <c r="N15" i="7"/>
  <c r="N14" i="7"/>
  <c r="O94" i="7"/>
  <c r="O95" i="7"/>
  <c r="P90" i="7" s="1"/>
  <c r="P93" i="7" s="1"/>
  <c r="P109" i="8" s="1"/>
  <c r="M52" i="8"/>
  <c r="M53" i="8" s="1"/>
  <c r="O129" i="8"/>
  <c r="O134" i="8" s="1"/>
  <c r="N131" i="8"/>
  <c r="N97" i="8"/>
  <c r="N110" i="8" s="1"/>
  <c r="N111" i="8" s="1"/>
  <c r="N99" i="8"/>
  <c r="N132" i="8" s="1"/>
  <c r="N133" i="8" s="1"/>
  <c r="H128" i="10"/>
  <c r="L51" i="8"/>
  <c r="L55" i="8" s="1"/>
  <c r="N98" i="8" l="1"/>
  <c r="O10" i="7"/>
  <c r="O13" i="7" s="1"/>
  <c r="O29" i="8" s="1"/>
  <c r="N19" i="7"/>
  <c r="B15" i="9"/>
  <c r="B43" i="9" s="1"/>
  <c r="H129" i="10"/>
  <c r="M51" i="8"/>
  <c r="M55" i="8" s="1"/>
  <c r="N17" i="7"/>
  <c r="N14" i="8" s="1"/>
  <c r="N15" i="8" s="1"/>
  <c r="N28" i="8"/>
  <c r="G130" i="10"/>
  <c r="N49" i="8"/>
  <c r="O131" i="8"/>
  <c r="O135" i="8" s="1"/>
  <c r="P94" i="7"/>
  <c r="P95" i="7"/>
  <c r="Q90" i="7" s="1"/>
  <c r="Q93" i="7" s="1"/>
  <c r="Q109" i="8" s="1"/>
  <c r="M54" i="8"/>
  <c r="N18" i="7"/>
  <c r="O97" i="7"/>
  <c r="O94" i="8" s="1"/>
  <c r="O95" i="8" s="1"/>
  <c r="O108" i="8"/>
  <c r="O98" i="7"/>
  <c r="N135" i="8"/>
  <c r="P129" i="8"/>
  <c r="Q129" i="8" l="1"/>
  <c r="P131" i="8"/>
  <c r="Q94" i="7"/>
  <c r="Q95" i="7"/>
  <c r="R90" i="7" s="1"/>
  <c r="R93" i="7" s="1"/>
  <c r="R109" i="8" s="1"/>
  <c r="G131" i="10"/>
  <c r="O49" i="8"/>
  <c r="O54" i="8" s="1"/>
  <c r="B28" i="10"/>
  <c r="D43" i="9"/>
  <c r="D28" i="10" s="1"/>
  <c r="N17" i="8"/>
  <c r="N30" i="8" s="1"/>
  <c r="N31" i="8" s="1"/>
  <c r="N19" i="8"/>
  <c r="E131" i="10" s="1"/>
  <c r="P134" i="8"/>
  <c r="P108" i="8"/>
  <c r="P97" i="7"/>
  <c r="P94" i="8" s="1"/>
  <c r="P95" i="8" s="1"/>
  <c r="P98" i="7"/>
  <c r="N54" i="8"/>
  <c r="H130" i="10"/>
  <c r="N51" i="8"/>
  <c r="O97" i="8"/>
  <c r="O110" i="8" s="1"/>
  <c r="O111" i="8" s="1"/>
  <c r="O99" i="8"/>
  <c r="O132" i="8" s="1"/>
  <c r="O133" i="8" s="1"/>
  <c r="F131" i="10"/>
  <c r="O15" i="7"/>
  <c r="P10" i="7" s="1"/>
  <c r="P13" i="7" s="1"/>
  <c r="P29" i="8" s="1"/>
  <c r="O14" i="7"/>
  <c r="O28" i="8" l="1"/>
  <c r="O17" i="7"/>
  <c r="O14" i="8" s="1"/>
  <c r="O15" i="8" s="1"/>
  <c r="O18" i="7"/>
  <c r="P14" i="7"/>
  <c r="P15" i="7"/>
  <c r="Q10" i="7" s="1"/>
  <c r="Q13" i="7" s="1"/>
  <c r="Q29" i="8" s="1"/>
  <c r="N52" i="8"/>
  <c r="N53" i="8" s="1"/>
  <c r="R94" i="7"/>
  <c r="R95" i="7"/>
  <c r="S90" i="7" s="1"/>
  <c r="S93" i="7" s="1"/>
  <c r="S109" i="8" s="1"/>
  <c r="Q131" i="8"/>
  <c r="Q135" i="8" s="1"/>
  <c r="Q97" i="7"/>
  <c r="Q94" i="8" s="1"/>
  <c r="Q95" i="8" s="1"/>
  <c r="Q108" i="8"/>
  <c r="Q98" i="7"/>
  <c r="P135" i="8"/>
  <c r="N18" i="8"/>
  <c r="O98" i="8"/>
  <c r="G132" i="10"/>
  <c r="P49" i="8"/>
  <c r="P54" i="8" s="1"/>
  <c r="H131" i="10"/>
  <c r="O51" i="8"/>
  <c r="N55" i="8"/>
  <c r="R129" i="8"/>
  <c r="R134" i="8" s="1"/>
  <c r="P97" i="8"/>
  <c r="P110" i="8" s="1"/>
  <c r="P111" i="8" s="1"/>
  <c r="P99" i="8"/>
  <c r="P132" i="8" s="1"/>
  <c r="P133" i="8" s="1"/>
  <c r="Q134" i="8"/>
  <c r="P98" i="8" l="1"/>
  <c r="Q97" i="8"/>
  <c r="Q110" i="8" s="1"/>
  <c r="Q111" i="8" s="1"/>
  <c r="Q99" i="8"/>
  <c r="Q132" i="8" s="1"/>
  <c r="Q133" i="8" s="1"/>
  <c r="Q15" i="7"/>
  <c r="R10" i="7" s="1"/>
  <c r="R13" i="7" s="1"/>
  <c r="R29" i="8" s="1"/>
  <c r="Q14" i="7"/>
  <c r="S94" i="7"/>
  <c r="S95" i="7"/>
  <c r="T90" i="7" s="1"/>
  <c r="T93" i="7" s="1"/>
  <c r="T109" i="8" s="1"/>
  <c r="P17" i="7"/>
  <c r="P14" i="8" s="1"/>
  <c r="P15" i="8" s="1"/>
  <c r="P28" i="8"/>
  <c r="P18" i="7"/>
  <c r="R131" i="8"/>
  <c r="R135" i="8" s="1"/>
  <c r="R108" i="8"/>
  <c r="R97" i="7"/>
  <c r="R94" i="8" s="1"/>
  <c r="R95" i="8" s="1"/>
  <c r="R98" i="7"/>
  <c r="H132" i="10"/>
  <c r="P51" i="8"/>
  <c r="O55" i="8"/>
  <c r="F132" i="10"/>
  <c r="S129" i="8"/>
  <c r="S134" i="8" s="1"/>
  <c r="O17" i="8"/>
  <c r="O30" i="8" s="1"/>
  <c r="O31" i="8" s="1"/>
  <c r="O19" i="8"/>
  <c r="E132" i="10" s="1"/>
  <c r="G133" i="10"/>
  <c r="Q49" i="8"/>
  <c r="O52" i="8" l="1"/>
  <c r="O53" i="8" s="1"/>
  <c r="Q98" i="8"/>
  <c r="G134" i="10"/>
  <c r="R49" i="8"/>
  <c r="S97" i="7"/>
  <c r="S94" i="8" s="1"/>
  <c r="S95" i="8" s="1"/>
  <c r="S108" i="8"/>
  <c r="S98" i="7"/>
  <c r="R97" i="8"/>
  <c r="R110" i="8" s="1"/>
  <c r="R111" i="8" s="1"/>
  <c r="R99" i="8"/>
  <c r="R132" i="8" s="1"/>
  <c r="R133" i="8" s="1"/>
  <c r="F133" i="10"/>
  <c r="P52" i="8"/>
  <c r="P53" i="8" s="1"/>
  <c r="T94" i="7"/>
  <c r="T95" i="7"/>
  <c r="U90" i="7" s="1"/>
  <c r="U93" i="7" s="1"/>
  <c r="U109" i="8" s="1"/>
  <c r="R15" i="7"/>
  <c r="S10" i="7" s="1"/>
  <c r="S13" i="7" s="1"/>
  <c r="S29" i="8" s="1"/>
  <c r="R14" i="7"/>
  <c r="Q54" i="8"/>
  <c r="P17" i="8"/>
  <c r="P30" i="8" s="1"/>
  <c r="P31" i="8" s="1"/>
  <c r="P19" i="8"/>
  <c r="E133" i="10" s="1"/>
  <c r="Q17" i="7"/>
  <c r="Q14" i="8" s="1"/>
  <c r="Q15" i="8" s="1"/>
  <c r="Q28" i="8"/>
  <c r="Q18" i="7"/>
  <c r="H133" i="10"/>
  <c r="Q51" i="8"/>
  <c r="Q55" i="8" s="1"/>
  <c r="S131" i="8"/>
  <c r="S135" i="8" s="1"/>
  <c r="O18" i="8"/>
  <c r="T129" i="8"/>
  <c r="P55" i="8"/>
  <c r="P18" i="8" l="1"/>
  <c r="U94" i="7"/>
  <c r="U95" i="7"/>
  <c r="V90" i="7" s="1"/>
  <c r="V93" i="7" s="1"/>
  <c r="V109" i="8" s="1"/>
  <c r="R17" i="7"/>
  <c r="R14" i="8" s="1"/>
  <c r="R15" i="8" s="1"/>
  <c r="R28" i="8"/>
  <c r="R18" i="7"/>
  <c r="U129" i="8"/>
  <c r="U134" i="8" s="1"/>
  <c r="S15" i="7"/>
  <c r="T10" i="7" s="1"/>
  <c r="T13" i="7" s="1"/>
  <c r="T29" i="8" s="1"/>
  <c r="S14" i="7"/>
  <c r="S97" i="8"/>
  <c r="S110" i="8" s="1"/>
  <c r="S111" i="8" s="1"/>
  <c r="S99" i="8"/>
  <c r="S132" i="8" s="1"/>
  <c r="S133" i="8" s="1"/>
  <c r="T131" i="8"/>
  <c r="H134" i="10"/>
  <c r="R51" i="8"/>
  <c r="R98" i="8"/>
  <c r="F134" i="10"/>
  <c r="Q17" i="8"/>
  <c r="Q30" i="8" s="1"/>
  <c r="Q31" i="8" s="1"/>
  <c r="Q19" i="8"/>
  <c r="E134" i="10" s="1"/>
  <c r="G135" i="10"/>
  <c r="S49" i="8"/>
  <c r="S54" i="8" s="1"/>
  <c r="T108" i="8"/>
  <c r="T97" i="7"/>
  <c r="T94" i="8" s="1"/>
  <c r="T95" i="8" s="1"/>
  <c r="T98" i="7"/>
  <c r="R54" i="8"/>
  <c r="T134" i="8"/>
  <c r="Q52" i="8" l="1"/>
  <c r="Q53" i="8" s="1"/>
  <c r="Q18" i="8"/>
  <c r="S98" i="8"/>
  <c r="H135" i="10"/>
  <c r="S51" i="8"/>
  <c r="U131" i="8"/>
  <c r="U135" i="8" s="1"/>
  <c r="S17" i="7"/>
  <c r="S14" i="8" s="1"/>
  <c r="S15" i="8" s="1"/>
  <c r="S28" i="8"/>
  <c r="S18" i="7"/>
  <c r="T97" i="8"/>
  <c r="T110" i="8" s="1"/>
  <c r="T111" i="8" s="1"/>
  <c r="T99" i="8"/>
  <c r="T132" i="8" s="1"/>
  <c r="T133" i="8" s="1"/>
  <c r="G136" i="10"/>
  <c r="T49" i="8"/>
  <c r="F135" i="10"/>
  <c r="R52" i="8"/>
  <c r="R53" i="8" s="1"/>
  <c r="V94" i="7"/>
  <c r="V95" i="7"/>
  <c r="W90" i="7" s="1"/>
  <c r="W93" i="7" s="1"/>
  <c r="W109" i="8" s="1"/>
  <c r="T135" i="8"/>
  <c r="T15" i="7"/>
  <c r="U10" i="7" s="1"/>
  <c r="U13" i="7" s="1"/>
  <c r="U29" i="8" s="1"/>
  <c r="T14" i="7"/>
  <c r="V129" i="8"/>
  <c r="R17" i="8"/>
  <c r="R30" i="8" s="1"/>
  <c r="R31" i="8" s="1"/>
  <c r="R19" i="8"/>
  <c r="E135" i="10" s="1"/>
  <c r="R55" i="8"/>
  <c r="U97" i="7"/>
  <c r="U94" i="8" s="1"/>
  <c r="U95" i="8" s="1"/>
  <c r="U108" i="8"/>
  <c r="U98" i="7"/>
  <c r="T98" i="8" l="1"/>
  <c r="G137" i="10"/>
  <c r="U49" i="8"/>
  <c r="U54" i="8" s="1"/>
  <c r="T54" i="8"/>
  <c r="F136" i="10"/>
  <c r="U97" i="8"/>
  <c r="U110" i="8" s="1"/>
  <c r="U111" i="8" s="1"/>
  <c r="U99" i="8"/>
  <c r="U132" i="8" s="1"/>
  <c r="U133" i="8" s="1"/>
  <c r="S17" i="8"/>
  <c r="S30" i="8" s="1"/>
  <c r="S31" i="8" s="1"/>
  <c r="S19" i="8"/>
  <c r="E136" i="10" s="1"/>
  <c r="V131" i="8"/>
  <c r="H136" i="10"/>
  <c r="T51" i="8"/>
  <c r="T55" i="8" s="1"/>
  <c r="R18" i="8"/>
  <c r="T17" i="7"/>
  <c r="T14" i="8" s="1"/>
  <c r="T15" i="8" s="1"/>
  <c r="T28" i="8"/>
  <c r="T18" i="7"/>
  <c r="W94" i="7"/>
  <c r="W95" i="7"/>
  <c r="X90" i="7" s="1"/>
  <c r="X93" i="7" s="1"/>
  <c r="X109" i="8" s="1"/>
  <c r="S55" i="8"/>
  <c r="W129" i="8"/>
  <c r="V134" i="8"/>
  <c r="U15" i="7"/>
  <c r="V10" i="7" s="1"/>
  <c r="V13" i="7" s="1"/>
  <c r="V29" i="8" s="1"/>
  <c r="U14" i="7"/>
  <c r="V97" i="7"/>
  <c r="V94" i="8" s="1"/>
  <c r="V95" i="8" s="1"/>
  <c r="V108" i="8"/>
  <c r="V98" i="7"/>
  <c r="S52" i="8" l="1"/>
  <c r="S53" i="8" s="1"/>
  <c r="U98" i="8"/>
  <c r="V15" i="7"/>
  <c r="W10" i="7" s="1"/>
  <c r="W13" i="7" s="1"/>
  <c r="W29" i="8" s="1"/>
  <c r="V14" i="7"/>
  <c r="W131" i="8"/>
  <c r="W135" i="8" s="1"/>
  <c r="X129" i="8"/>
  <c r="V97" i="8"/>
  <c r="V110" i="8" s="1"/>
  <c r="V111" i="8" s="1"/>
  <c r="V99" i="8"/>
  <c r="V132" i="8" s="1"/>
  <c r="V133" i="8" s="1"/>
  <c r="W134" i="8"/>
  <c r="T17" i="8"/>
  <c r="T30" i="8" s="1"/>
  <c r="T31" i="8" s="1"/>
  <c r="T19" i="8"/>
  <c r="E137" i="10" s="1"/>
  <c r="V135" i="8"/>
  <c r="S18" i="8"/>
  <c r="X95" i="7"/>
  <c r="Y90" i="7" s="1"/>
  <c r="X94" i="7"/>
  <c r="F137" i="10"/>
  <c r="G138" i="10"/>
  <c r="V49" i="8"/>
  <c r="V54" i="8" s="1"/>
  <c r="U17" i="7"/>
  <c r="U14" i="8" s="1"/>
  <c r="U15" i="8" s="1"/>
  <c r="U28" i="8"/>
  <c r="U18" i="7"/>
  <c r="W108" i="8"/>
  <c r="W97" i="7"/>
  <c r="W94" i="8" s="1"/>
  <c r="W95" i="8" s="1"/>
  <c r="W98" i="7"/>
  <c r="H137" i="10"/>
  <c r="U51" i="8"/>
  <c r="T52" i="8" l="1"/>
  <c r="T53" i="8" s="1"/>
  <c r="Y94" i="7"/>
  <c r="Y95" i="7"/>
  <c r="Z90" i="7" s="1"/>
  <c r="X134" i="8"/>
  <c r="Y129" i="8"/>
  <c r="W97" i="8"/>
  <c r="W110" i="8" s="1"/>
  <c r="W111" i="8" s="1"/>
  <c r="W99" i="8"/>
  <c r="W132" i="8" s="1"/>
  <c r="W133" i="8" s="1"/>
  <c r="V98" i="8"/>
  <c r="X131" i="8"/>
  <c r="H138" i="10"/>
  <c r="V51" i="8"/>
  <c r="V55" i="8" s="1"/>
  <c r="U17" i="8"/>
  <c r="U30" i="8" s="1"/>
  <c r="U31" i="8" s="1"/>
  <c r="U19" i="8"/>
  <c r="E138" i="10" s="1"/>
  <c r="G139" i="10"/>
  <c r="W49" i="8"/>
  <c r="V17" i="7"/>
  <c r="V14" i="8" s="1"/>
  <c r="V15" i="8" s="1"/>
  <c r="V28" i="8"/>
  <c r="V18" i="7"/>
  <c r="U55" i="8"/>
  <c r="T18" i="8"/>
  <c r="F138" i="10"/>
  <c r="X97" i="7"/>
  <c r="X94" i="8" s="1"/>
  <c r="X95" i="8" s="1"/>
  <c r="X108" i="8"/>
  <c r="X98" i="7"/>
  <c r="W15" i="7"/>
  <c r="X10" i="7" s="1"/>
  <c r="X13" i="7" s="1"/>
  <c r="X29" i="8" s="1"/>
  <c r="W14" i="7"/>
  <c r="U52" i="8" l="1"/>
  <c r="U53" i="8" s="1"/>
  <c r="X135" i="8"/>
  <c r="Y131" i="8"/>
  <c r="Z94" i="7"/>
  <c r="Z95" i="7"/>
  <c r="AA90" i="7" s="1"/>
  <c r="Z129" i="8"/>
  <c r="Z134" i="8"/>
  <c r="Y134" i="8"/>
  <c r="Y97" i="7"/>
  <c r="Y94" i="8" s="1"/>
  <c r="Y95" i="8" s="1"/>
  <c r="Y108" i="8"/>
  <c r="Y98" i="7"/>
  <c r="Y132" i="8" s="1"/>
  <c r="Y133" i="8" s="1"/>
  <c r="W98" i="8"/>
  <c r="U18" i="8"/>
  <c r="X14" i="7"/>
  <c r="X15" i="7"/>
  <c r="W17" i="7"/>
  <c r="W14" i="8" s="1"/>
  <c r="W15" i="8" s="1"/>
  <c r="W28" i="8"/>
  <c r="W18" i="7"/>
  <c r="F139" i="10"/>
  <c r="G140" i="10"/>
  <c r="X49" i="8"/>
  <c r="H139" i="10"/>
  <c r="W51" i="8"/>
  <c r="W55" i="8" s="1"/>
  <c r="V17" i="8"/>
  <c r="V30" i="8" s="1"/>
  <c r="V31" i="8" s="1"/>
  <c r="V19" i="8"/>
  <c r="E139" i="10" s="1"/>
  <c r="X97" i="8"/>
  <c r="X110" i="8" s="1"/>
  <c r="X111" i="8" s="1"/>
  <c r="X99" i="8"/>
  <c r="X132" i="8" s="1"/>
  <c r="X133" i="8" s="1"/>
  <c r="W54" i="8"/>
  <c r="V52" i="8" l="1"/>
  <c r="V53" i="8" s="1"/>
  <c r="G141" i="10"/>
  <c r="Y49" i="8"/>
  <c r="Y54" i="8" s="1"/>
  <c r="AA129" i="8"/>
  <c r="AA95" i="7"/>
  <c r="AB90" i="7" s="1"/>
  <c r="AA94" i="7"/>
  <c r="Z97" i="7"/>
  <c r="Z94" i="8" s="1"/>
  <c r="Z95" i="8" s="1"/>
  <c r="Z108" i="8"/>
  <c r="Z98" i="7"/>
  <c r="Z132" i="8" s="1"/>
  <c r="Z133" i="8" s="1"/>
  <c r="Z131" i="8"/>
  <c r="Z135" i="8"/>
  <c r="Y10" i="7"/>
  <c r="Y98" i="8"/>
  <c r="Y97" i="8"/>
  <c r="Y110" i="8" s="1"/>
  <c r="Y111" i="8" s="1"/>
  <c r="Y99" i="8"/>
  <c r="Y135" i="8"/>
  <c r="X98" i="8"/>
  <c r="V18" i="8"/>
  <c r="X54" i="8"/>
  <c r="W17" i="8"/>
  <c r="W30" i="8" s="1"/>
  <c r="W31" i="8" s="1"/>
  <c r="W19" i="8"/>
  <c r="E140" i="10" s="1"/>
  <c r="F140" i="10"/>
  <c r="H140" i="10"/>
  <c r="X51" i="8"/>
  <c r="X17" i="7"/>
  <c r="X14" i="8" s="1"/>
  <c r="X15" i="8" s="1"/>
  <c r="X28" i="8"/>
  <c r="X18" i="7"/>
  <c r="W52" i="8" l="1"/>
  <c r="W53" i="8" s="1"/>
  <c r="AA131" i="8"/>
  <c r="AA135" i="8"/>
  <c r="Z97" i="8"/>
  <c r="Z110" i="8" s="1"/>
  <c r="Z111" i="8" s="1"/>
  <c r="Z98" i="8"/>
  <c r="Z99" i="8"/>
  <c r="AB95" i="7"/>
  <c r="AC90" i="7" s="1"/>
  <c r="AB94" i="7"/>
  <c r="Y15" i="7"/>
  <c r="Z10" i="7" s="1"/>
  <c r="Y14" i="7"/>
  <c r="AA97" i="7"/>
  <c r="AA94" i="8" s="1"/>
  <c r="AA95" i="8" s="1"/>
  <c r="AA108" i="8"/>
  <c r="AA98" i="7"/>
  <c r="AA132" i="8" s="1"/>
  <c r="AA133" i="8" s="1"/>
  <c r="AB129" i="8"/>
  <c r="AB134" i="8" s="1"/>
  <c r="AA134" i="8"/>
  <c r="G142" i="10"/>
  <c r="Z49" i="8"/>
  <c r="Z54" i="8"/>
  <c r="H141" i="10"/>
  <c r="Y51" i="8"/>
  <c r="Y55" i="8"/>
  <c r="X55" i="8"/>
  <c r="W18" i="8"/>
  <c r="F141" i="10"/>
  <c r="X17" i="8"/>
  <c r="X30" i="8" s="1"/>
  <c r="X31" i="8" s="1"/>
  <c r="X19" i="8"/>
  <c r="E141" i="10" s="1"/>
  <c r="X52" i="8" l="1"/>
  <c r="X53" i="8" s="1"/>
  <c r="AA97" i="8"/>
  <c r="AA110" i="8" s="1"/>
  <c r="AA111" i="8" s="1"/>
  <c r="AA98" i="8"/>
  <c r="AA99" i="8"/>
  <c r="AC94" i="7"/>
  <c r="AC95" i="7"/>
  <c r="AD90" i="7" s="1"/>
  <c r="Z15" i="7"/>
  <c r="AA10" i="7" s="1"/>
  <c r="Z14" i="7"/>
  <c r="H142" i="10"/>
  <c r="Z51" i="8"/>
  <c r="Z55" i="8" s="1"/>
  <c r="Y17" i="7"/>
  <c r="Y14" i="8" s="1"/>
  <c r="Y15" i="8" s="1"/>
  <c r="Y28" i="8"/>
  <c r="Y18" i="7"/>
  <c r="AB97" i="7"/>
  <c r="AB94" i="8" s="1"/>
  <c r="AB95" i="8" s="1"/>
  <c r="AB108" i="8"/>
  <c r="AB98" i="7"/>
  <c r="AB132" i="8" s="1"/>
  <c r="G143" i="10"/>
  <c r="AA49" i="8"/>
  <c r="AA54" i="8"/>
  <c r="AC129" i="8"/>
  <c r="AB131" i="8"/>
  <c r="X18" i="8"/>
  <c r="F142" i="10" l="1"/>
  <c r="Y52" i="8"/>
  <c r="AC131" i="8"/>
  <c r="AC135" i="8"/>
  <c r="Y17" i="8"/>
  <c r="Y30" i="8" s="1"/>
  <c r="Y31" i="8" s="1"/>
  <c r="Y19" i="8"/>
  <c r="E142" i="10" s="1"/>
  <c r="H143" i="10"/>
  <c r="AA51" i="8"/>
  <c r="AA55" i="8" s="1"/>
  <c r="AB97" i="8"/>
  <c r="AB110" i="8" s="1"/>
  <c r="AB111" i="8" s="1"/>
  <c r="AB98" i="8"/>
  <c r="AB99" i="8"/>
  <c r="AB135" i="8"/>
  <c r="AD94" i="7"/>
  <c r="AD95" i="7"/>
  <c r="AE90" i="7" s="1"/>
  <c r="AC108" i="8"/>
  <c r="AC97" i="7"/>
  <c r="AC94" i="8" s="1"/>
  <c r="AC95" i="8" s="1"/>
  <c r="AC98" i="7"/>
  <c r="AC132" i="8" s="1"/>
  <c r="AC133" i="8" s="1"/>
  <c r="Z17" i="7"/>
  <c r="Z14" i="8" s="1"/>
  <c r="Z15" i="8" s="1"/>
  <c r="Z28" i="8"/>
  <c r="Z18" i="7"/>
  <c r="AA14" i="7"/>
  <c r="AA15" i="7"/>
  <c r="AB10" i="7" s="1"/>
  <c r="AD129" i="8"/>
  <c r="AD134" i="8" s="1"/>
  <c r="G144" i="10"/>
  <c r="AB49" i="8"/>
  <c r="AB54" i="8"/>
  <c r="AC134" i="8"/>
  <c r="AB133" i="8"/>
  <c r="Y18" i="8" l="1"/>
  <c r="AA17" i="7"/>
  <c r="AA14" i="8" s="1"/>
  <c r="AA15" i="8" s="1"/>
  <c r="AA28" i="8"/>
  <c r="AA18" i="7"/>
  <c r="G145" i="10"/>
  <c r="AC49" i="8"/>
  <c r="AC54" i="8" s="1"/>
  <c r="AE94" i="7"/>
  <c r="AE95" i="7"/>
  <c r="AF90" i="7" s="1"/>
  <c r="AD108" i="8"/>
  <c r="AD97" i="7"/>
  <c r="AD94" i="8" s="1"/>
  <c r="AD95" i="8" s="1"/>
  <c r="AD98" i="7"/>
  <c r="AD132" i="8" s="1"/>
  <c r="AE129" i="8"/>
  <c r="AE134" i="8" s="1"/>
  <c r="H144" i="10"/>
  <c r="AB51" i="8"/>
  <c r="AC97" i="8"/>
  <c r="AC110" i="8" s="1"/>
  <c r="AC111" i="8" s="1"/>
  <c r="AC99" i="8"/>
  <c r="AD131" i="8"/>
  <c r="AD135" i="8" s="1"/>
  <c r="AB15" i="7"/>
  <c r="AC10" i="7" s="1"/>
  <c r="AB14" i="7"/>
  <c r="F143" i="10"/>
  <c r="Z52" i="8"/>
  <c r="Z53" i="8" s="1"/>
  <c r="Z17" i="8"/>
  <c r="Z30" i="8" s="1"/>
  <c r="Z31" i="8" s="1"/>
  <c r="Z19" i="8"/>
  <c r="E143" i="10" s="1"/>
  <c r="Y53" i="8"/>
  <c r="Z18" i="8" l="1"/>
  <c r="AD97" i="8"/>
  <c r="AD110" i="8" s="1"/>
  <c r="AD111" i="8" s="1"/>
  <c r="AD98" i="8"/>
  <c r="AD99" i="8"/>
  <c r="AC14" i="7"/>
  <c r="AC15" i="7"/>
  <c r="AD10" i="7" s="1"/>
  <c r="AC98" i="8"/>
  <c r="F144" i="10"/>
  <c r="AA52" i="8"/>
  <c r="AA53" i="8" s="1"/>
  <c r="AD133" i="8"/>
  <c r="AE97" i="7"/>
  <c r="AE94" i="8" s="1"/>
  <c r="AE95" i="8" s="1"/>
  <c r="AE108" i="8"/>
  <c r="AE98" i="7"/>
  <c r="AE132" i="8" s="1"/>
  <c r="AE133" i="8" s="1"/>
  <c r="G146" i="10"/>
  <c r="AD49" i="8"/>
  <c r="H145" i="10"/>
  <c r="AC51" i="8"/>
  <c r="AC55" i="8"/>
  <c r="AB28" i="8"/>
  <c r="AB17" i="7"/>
  <c r="AB14" i="8" s="1"/>
  <c r="AB15" i="8" s="1"/>
  <c r="AB18" i="7"/>
  <c r="AE131" i="8"/>
  <c r="AB55" i="8"/>
  <c r="AA17" i="8"/>
  <c r="AA30" i="8" s="1"/>
  <c r="AA31" i="8" s="1"/>
  <c r="AA19" i="8"/>
  <c r="E144" i="10" s="1"/>
  <c r="AF129" i="8"/>
  <c r="AF134" i="8"/>
  <c r="AF95" i="7"/>
  <c r="AG90" i="7" s="1"/>
  <c r="AF94" i="7"/>
  <c r="AG94" i="7" l="1"/>
  <c r="AG95" i="7"/>
  <c r="AH90" i="7" s="1"/>
  <c r="AG129" i="8"/>
  <c r="AF97" i="7"/>
  <c r="AF94" i="8" s="1"/>
  <c r="AF95" i="8" s="1"/>
  <c r="AF108" i="8"/>
  <c r="AF98" i="7"/>
  <c r="AF132" i="8" s="1"/>
  <c r="AF133" i="8" s="1"/>
  <c r="G147" i="10"/>
  <c r="AE49" i="8"/>
  <c r="AA18" i="8"/>
  <c r="F145" i="10"/>
  <c r="AB52" i="8"/>
  <c r="AB53" i="8" s="1"/>
  <c r="AD54" i="8"/>
  <c r="AE97" i="8"/>
  <c r="AE110" i="8" s="1"/>
  <c r="AE111" i="8" s="1"/>
  <c r="AE98" i="8"/>
  <c r="AE99" i="8"/>
  <c r="AD15" i="7"/>
  <c r="AE10" i="7" s="1"/>
  <c r="AD14" i="7"/>
  <c r="AC28" i="8"/>
  <c r="AC17" i="7"/>
  <c r="AC14" i="8" s="1"/>
  <c r="AC15" i="8" s="1"/>
  <c r="AC18" i="7"/>
  <c r="AF131" i="8"/>
  <c r="AE135" i="8"/>
  <c r="AB17" i="8"/>
  <c r="AB30" i="8" s="1"/>
  <c r="AB31" i="8" s="1"/>
  <c r="AB19" i="8"/>
  <c r="E145" i="10" s="1"/>
  <c r="H146" i="10"/>
  <c r="AD51" i="8"/>
  <c r="AD55" i="8"/>
  <c r="H147" i="10" l="1"/>
  <c r="AE51" i="8"/>
  <c r="AE55" i="8"/>
  <c r="G148" i="10"/>
  <c r="AF49" i="8"/>
  <c r="AE54" i="8"/>
  <c r="AF97" i="8"/>
  <c r="AF110" i="8" s="1"/>
  <c r="AF111" i="8" s="1"/>
  <c r="AF99" i="8"/>
  <c r="AH129" i="8"/>
  <c r="AH134" i="8" s="1"/>
  <c r="D10" i="9" s="1"/>
  <c r="E38" i="9" s="1"/>
  <c r="AD28" i="8"/>
  <c r="AD17" i="7"/>
  <c r="AD14" i="8" s="1"/>
  <c r="AD15" i="8" s="1"/>
  <c r="AD18" i="7"/>
  <c r="AG134" i="8"/>
  <c r="AB18" i="8"/>
  <c r="AG131" i="8"/>
  <c r="AC17" i="8"/>
  <c r="AC30" i="8" s="1"/>
  <c r="AC31" i="8" s="1"/>
  <c r="AC19" i="8"/>
  <c r="E146" i="10" s="1"/>
  <c r="AE14" i="7"/>
  <c r="AE15" i="7"/>
  <c r="AF10" i="7" s="1"/>
  <c r="AH94" i="7"/>
  <c r="AH95" i="7"/>
  <c r="AF135" i="8"/>
  <c r="F146" i="10"/>
  <c r="AC52" i="8"/>
  <c r="AC53" i="8" s="1"/>
  <c r="AG97" i="7"/>
  <c r="AG94" i="8" s="1"/>
  <c r="AG95" i="8" s="1"/>
  <c r="AG108" i="8"/>
  <c r="AG98" i="7"/>
  <c r="AG132" i="8" s="1"/>
  <c r="AG133" i="8" s="1"/>
  <c r="E23" i="10" l="1"/>
  <c r="F38" i="9"/>
  <c r="F23" i="10" s="1"/>
  <c r="AG97" i="8"/>
  <c r="AG110" i="8" s="1"/>
  <c r="AG111" i="8" s="1"/>
  <c r="AG99" i="8"/>
  <c r="AD17" i="8"/>
  <c r="AD30" i="8" s="1"/>
  <c r="AD31" i="8" s="1"/>
  <c r="AD19" i="8"/>
  <c r="E147" i="10" s="1"/>
  <c r="AF14" i="7"/>
  <c r="AF15" i="7"/>
  <c r="AG10" i="7" s="1"/>
  <c r="AH108" i="8"/>
  <c r="AH97" i="7"/>
  <c r="AH94" i="8" s="1"/>
  <c r="AH95" i="8" s="1"/>
  <c r="AH98" i="7"/>
  <c r="AH132" i="8" s="1"/>
  <c r="AE17" i="7"/>
  <c r="AE14" i="8" s="1"/>
  <c r="AE15" i="8" s="1"/>
  <c r="AE28" i="8"/>
  <c r="AE18" i="7"/>
  <c r="AF98" i="8"/>
  <c r="G149" i="10"/>
  <c r="AG49" i="8"/>
  <c r="AG54" i="8" s="1"/>
  <c r="AH131" i="8"/>
  <c r="AH135" i="8" s="1"/>
  <c r="D11" i="9" s="1"/>
  <c r="E39" i="9" s="1"/>
  <c r="AG135" i="8"/>
  <c r="H148" i="10"/>
  <c r="AF51" i="8"/>
  <c r="F147" i="10"/>
  <c r="AD52" i="8"/>
  <c r="AD53" i="8" s="1"/>
  <c r="AF54" i="8"/>
  <c r="AC18" i="8"/>
  <c r="AH133" i="8" l="1"/>
  <c r="D12" i="9"/>
  <c r="E40" i="9" s="1"/>
  <c r="F39" i="9"/>
  <c r="F24" i="10" s="1"/>
  <c r="E24" i="10"/>
  <c r="F148" i="10"/>
  <c r="AE52" i="8"/>
  <c r="AE53" i="8" s="1"/>
  <c r="AH97" i="8"/>
  <c r="AH110" i="8" s="1"/>
  <c r="AH111" i="8" s="1"/>
  <c r="AG112" i="8" s="1"/>
  <c r="AF112" i="8" s="1"/>
  <c r="AE112" i="8" s="1"/>
  <c r="AD112" i="8" s="1"/>
  <c r="AC112" i="8" s="1"/>
  <c r="AB112" i="8" s="1"/>
  <c r="AA112" i="8" s="1"/>
  <c r="Z112" i="8" s="1"/>
  <c r="Y112" i="8" s="1"/>
  <c r="X112" i="8" s="1"/>
  <c r="W112" i="8" s="1"/>
  <c r="V112" i="8" s="1"/>
  <c r="U112" i="8" s="1"/>
  <c r="T112" i="8" s="1"/>
  <c r="S112" i="8" s="1"/>
  <c r="R112" i="8" s="1"/>
  <c r="Q112" i="8" s="1"/>
  <c r="P112" i="8" s="1"/>
  <c r="O112" i="8" s="1"/>
  <c r="N112" i="8" s="1"/>
  <c r="M112" i="8" s="1"/>
  <c r="L112" i="8" s="1"/>
  <c r="K112" i="8" s="1"/>
  <c r="J112" i="8" s="1"/>
  <c r="I112" i="8" s="1"/>
  <c r="H112" i="8" s="1"/>
  <c r="G112" i="8" s="1"/>
  <c r="F112" i="8" s="1"/>
  <c r="E112" i="8" s="1"/>
  <c r="D112" i="8" s="1"/>
  <c r="AH99" i="8"/>
  <c r="AF17" i="7"/>
  <c r="AF14" i="8" s="1"/>
  <c r="AF15" i="8" s="1"/>
  <c r="AF28" i="8"/>
  <c r="AF18" i="7"/>
  <c r="AE17" i="8"/>
  <c r="AE30" i="8" s="1"/>
  <c r="AE31" i="8" s="1"/>
  <c r="AE18" i="8"/>
  <c r="AE19" i="8"/>
  <c r="E148" i="10" s="1"/>
  <c r="H149" i="10"/>
  <c r="AG51" i="8"/>
  <c r="AG98" i="8"/>
  <c r="AG15" i="7"/>
  <c r="AH10" i="7" s="1"/>
  <c r="AG14" i="7"/>
  <c r="AF55" i="8"/>
  <c r="AD18" i="8"/>
  <c r="G150" i="10"/>
  <c r="AH49" i="8"/>
  <c r="G151" i="10" s="1"/>
  <c r="F149" i="10" l="1"/>
  <c r="AF52" i="8"/>
  <c r="AF53" i="8" s="1"/>
  <c r="AH54" i="8"/>
  <c r="B10" i="9" s="1"/>
  <c r="B38" i="9" s="1"/>
  <c r="AG28" i="8"/>
  <c r="AG17" i="7"/>
  <c r="AG14" i="8" s="1"/>
  <c r="AG15" i="8" s="1"/>
  <c r="AG18" i="7"/>
  <c r="AF17" i="8"/>
  <c r="AF30" i="8" s="1"/>
  <c r="AF31" i="8" s="1"/>
  <c r="AF18" i="8"/>
  <c r="AF19" i="8"/>
  <c r="E149" i="10" s="1"/>
  <c r="AH15" i="7"/>
  <c r="D54" i="10" s="1"/>
  <c r="AH14" i="7"/>
  <c r="D115" i="8"/>
  <c r="D123" i="8"/>
  <c r="F40" i="9"/>
  <c r="F25" i="10" s="1"/>
  <c r="E25" i="10"/>
  <c r="AH98" i="8"/>
  <c r="H150" i="10"/>
  <c r="AH51" i="8"/>
  <c r="H151" i="10" s="1"/>
  <c r="AG55" i="8"/>
  <c r="D128" i="8" l="1"/>
  <c r="D124" i="8"/>
  <c r="E119" i="8" s="1"/>
  <c r="B23" i="10"/>
  <c r="D38" i="9"/>
  <c r="D23" i="10" s="1"/>
  <c r="D116" i="8"/>
  <c r="E113" i="8" s="1"/>
  <c r="D118" i="8"/>
  <c r="D142" i="8" s="1"/>
  <c r="D141" i="8"/>
  <c r="AG17" i="8"/>
  <c r="AG30" i="8" s="1"/>
  <c r="AG31" i="8" s="1"/>
  <c r="AG19" i="8"/>
  <c r="E150" i="10" s="1"/>
  <c r="AH17" i="7"/>
  <c r="AH14" i="8" s="1"/>
  <c r="AH15" i="8" s="1"/>
  <c r="AH28" i="8"/>
  <c r="AH18" i="7"/>
  <c r="F150" i="10"/>
  <c r="AG52" i="8"/>
  <c r="AG53" i="8" s="1"/>
  <c r="AH55" i="8"/>
  <c r="B11" i="9" s="1"/>
  <c r="B39" i="9" s="1"/>
  <c r="D139" i="8" l="1"/>
  <c r="D140" i="8"/>
  <c r="F151" i="10"/>
  <c r="AH52" i="8"/>
  <c r="AH17" i="8"/>
  <c r="AH30" i="8" s="1"/>
  <c r="AH31" i="8" s="1"/>
  <c r="AG32" i="8" s="1"/>
  <c r="AF32" i="8" s="1"/>
  <c r="AE32" i="8" s="1"/>
  <c r="AD32" i="8" s="1"/>
  <c r="AC32" i="8" s="1"/>
  <c r="AB32" i="8" s="1"/>
  <c r="AA32" i="8" s="1"/>
  <c r="Z32" i="8" s="1"/>
  <c r="Y32" i="8" s="1"/>
  <c r="X32" i="8" s="1"/>
  <c r="W32" i="8" s="1"/>
  <c r="V32" i="8" s="1"/>
  <c r="U32" i="8" s="1"/>
  <c r="T32" i="8" s="1"/>
  <c r="S32" i="8" s="1"/>
  <c r="R32" i="8" s="1"/>
  <c r="Q32" i="8" s="1"/>
  <c r="P32" i="8" s="1"/>
  <c r="O32" i="8" s="1"/>
  <c r="N32" i="8" s="1"/>
  <c r="M32" i="8" s="1"/>
  <c r="L32" i="8" s="1"/>
  <c r="K32" i="8" s="1"/>
  <c r="J32" i="8" s="1"/>
  <c r="I32" i="8" s="1"/>
  <c r="H32" i="8" s="1"/>
  <c r="G32" i="8" s="1"/>
  <c r="F32" i="8" s="1"/>
  <c r="E32" i="8" s="1"/>
  <c r="D32" i="8" s="1"/>
  <c r="AH18" i="8"/>
  <c r="AH19" i="8"/>
  <c r="E151" i="10" s="1"/>
  <c r="D144" i="8"/>
  <c r="D143" i="8"/>
  <c r="E114" i="8"/>
  <c r="E117" i="8" s="1"/>
  <c r="D39" i="9"/>
  <c r="D24" i="10" s="1"/>
  <c r="B24" i="10"/>
  <c r="E121" i="8"/>
  <c r="E122" i="8" s="1"/>
  <c r="E127" i="8" s="1"/>
  <c r="AG18" i="8"/>
  <c r="E115" i="8" l="1"/>
  <c r="E118" i="8" s="1"/>
  <c r="E142" i="8" s="1"/>
  <c r="E125" i="8"/>
  <c r="AH53" i="8"/>
  <c r="B12" i="9"/>
  <c r="B40" i="9" s="1"/>
  <c r="D35" i="8"/>
  <c r="D43" i="8"/>
  <c r="E116" i="8" l="1"/>
  <c r="F113" i="8" s="1"/>
  <c r="F114" i="8" s="1"/>
  <c r="E141" i="8"/>
  <c r="D38" i="8"/>
  <c r="D62" i="8" s="1"/>
  <c r="D61" i="8"/>
  <c r="D36" i="8"/>
  <c r="E33" i="8" s="1"/>
  <c r="D48" i="8"/>
  <c r="D44" i="8"/>
  <c r="E39" i="8" s="1"/>
  <c r="F120" i="8"/>
  <c r="E126" i="8"/>
  <c r="D40" i="9"/>
  <c r="D25" i="10" s="1"/>
  <c r="B25" i="10"/>
  <c r="E143" i="8"/>
  <c r="E144" i="8"/>
  <c r="E139" i="8" l="1"/>
  <c r="D59" i="8"/>
  <c r="D60" i="8"/>
  <c r="F115" i="8"/>
  <c r="F116" i="8" s="1"/>
  <c r="G113" i="8" s="1"/>
  <c r="F117" i="8"/>
  <c r="E123" i="8"/>
  <c r="E41" i="8"/>
  <c r="E42" i="8" s="1"/>
  <c r="E34" i="8"/>
  <c r="E37" i="8" s="1"/>
  <c r="D63" i="8"/>
  <c r="D64" i="8"/>
  <c r="E35" i="8" l="1"/>
  <c r="E36" i="8" s="1"/>
  <c r="G114" i="8"/>
  <c r="G115" i="8" s="1"/>
  <c r="F139" i="8"/>
  <c r="E45" i="8"/>
  <c r="E47" i="8"/>
  <c r="E128" i="8"/>
  <c r="E124" i="8"/>
  <c r="F119" i="8" s="1"/>
  <c r="F118" i="8"/>
  <c r="F142" i="8" s="1"/>
  <c r="F141" i="8"/>
  <c r="E38" i="8" l="1"/>
  <c r="E62" i="8" s="1"/>
  <c r="E63" i="8" s="1"/>
  <c r="E61" i="8"/>
  <c r="G117" i="8"/>
  <c r="F33" i="8"/>
  <c r="E59" i="8"/>
  <c r="G116" i="8"/>
  <c r="H113" i="8" s="1"/>
  <c r="H114" i="8" s="1"/>
  <c r="E140" i="8"/>
  <c r="F40" i="8"/>
  <c r="E46" i="8"/>
  <c r="F121" i="8"/>
  <c r="F122" i="8" s="1"/>
  <c r="F127" i="8" s="1"/>
  <c r="G118" i="8"/>
  <c r="G142" i="8" s="1"/>
  <c r="G141" i="8"/>
  <c r="F34" i="8"/>
  <c r="F37" i="8" s="1"/>
  <c r="F143" i="8"/>
  <c r="F144" i="8"/>
  <c r="H117" i="8" l="1"/>
  <c r="E64" i="8"/>
  <c r="G139" i="8"/>
  <c r="F35" i="8"/>
  <c r="G144" i="8"/>
  <c r="G143" i="8"/>
  <c r="F125" i="8"/>
  <c r="E43" i="8"/>
  <c r="H115" i="8"/>
  <c r="H118" i="8" s="1"/>
  <c r="H142" i="8" s="1"/>
  <c r="H116" i="8" l="1"/>
  <c r="I113" i="8" s="1"/>
  <c r="I114" i="8" s="1"/>
  <c r="I117" i="8" s="1"/>
  <c r="E48" i="8"/>
  <c r="E44" i="8"/>
  <c r="F39" i="8" s="1"/>
  <c r="H143" i="8"/>
  <c r="H144" i="8"/>
  <c r="G120" i="8"/>
  <c r="F126" i="8"/>
  <c r="F61" i="8"/>
  <c r="F38" i="8"/>
  <c r="F62" i="8" s="1"/>
  <c r="F36" i="8"/>
  <c r="G33" i="8" s="1"/>
  <c r="H139" i="8" l="1"/>
  <c r="F63" i="8"/>
  <c r="F64" i="8"/>
  <c r="F59" i="8"/>
  <c r="G34" i="8"/>
  <c r="E60" i="8"/>
  <c r="F123" i="8"/>
  <c r="I115" i="8"/>
  <c r="F41" i="8"/>
  <c r="F42" i="8" s="1"/>
  <c r="I116" i="8" l="1"/>
  <c r="J113" i="8" s="1"/>
  <c r="I118" i="8"/>
  <c r="I142" i="8" s="1"/>
  <c r="F128" i="8"/>
  <c r="F124" i="8"/>
  <c r="G119" i="8" s="1"/>
  <c r="F45" i="8"/>
  <c r="F47" i="8"/>
  <c r="G35" i="8"/>
  <c r="G37" i="8"/>
  <c r="I139" i="8" l="1"/>
  <c r="G36" i="8"/>
  <c r="H33" i="8" s="1"/>
  <c r="G61" i="8"/>
  <c r="G38" i="8"/>
  <c r="G62" i="8" s="1"/>
  <c r="G40" i="8"/>
  <c r="F46" i="8"/>
  <c r="F140" i="8"/>
  <c r="G121" i="8"/>
  <c r="G122" i="8" s="1"/>
  <c r="G127" i="8" s="1"/>
  <c r="I144" i="8"/>
  <c r="I143" i="8"/>
  <c r="J114" i="8"/>
  <c r="J117" i="8" s="1"/>
  <c r="G59" i="8" l="1"/>
  <c r="G125" i="8"/>
  <c r="F43" i="8"/>
  <c r="G63" i="8"/>
  <c r="G64" i="8"/>
  <c r="J115" i="8"/>
  <c r="H34" i="8"/>
  <c r="J118" i="8" l="1"/>
  <c r="J142" i="8" s="1"/>
  <c r="F48" i="8"/>
  <c r="F44" i="8"/>
  <c r="G39" i="8" s="1"/>
  <c r="J116" i="8"/>
  <c r="K113" i="8" s="1"/>
  <c r="H35" i="8"/>
  <c r="H37" i="8"/>
  <c r="H120" i="8"/>
  <c r="G126" i="8"/>
  <c r="G123" i="8" s="1"/>
  <c r="J139" i="8" l="1"/>
  <c r="F60" i="8"/>
  <c r="H38" i="8"/>
  <c r="H62" i="8" s="1"/>
  <c r="G41" i="8"/>
  <c r="G42" i="8" s="1"/>
  <c r="J143" i="8"/>
  <c r="J144" i="8"/>
  <c r="G128" i="8"/>
  <c r="G124" i="8"/>
  <c r="H119" i="8" s="1"/>
  <c r="K114" i="8"/>
  <c r="H36" i="8"/>
  <c r="I33" i="8" s="1"/>
  <c r="K115" i="8" l="1"/>
  <c r="K116" i="8" s="1"/>
  <c r="L113" i="8" s="1"/>
  <c r="K117" i="8"/>
  <c r="G140" i="8"/>
  <c r="I34" i="8"/>
  <c r="I37" i="8" s="1"/>
  <c r="H59" i="8"/>
  <c r="H121" i="8"/>
  <c r="H122" i="8" s="1"/>
  <c r="H127" i="8" s="1"/>
  <c r="G45" i="8"/>
  <c r="G47" i="8"/>
  <c r="H63" i="8"/>
  <c r="H64" i="8"/>
  <c r="K139" i="8" l="1"/>
  <c r="I35" i="8"/>
  <c r="I36" i="8" s="1"/>
  <c r="H40" i="8"/>
  <c r="G46" i="8"/>
  <c r="L114" i="8"/>
  <c r="H125" i="8"/>
  <c r="K118" i="8"/>
  <c r="K142" i="8" s="1"/>
  <c r="L115" i="8" l="1"/>
  <c r="L116" i="8" s="1"/>
  <c r="M113" i="8" s="1"/>
  <c r="M114" i="8" s="1"/>
  <c r="I38" i="8"/>
  <c r="I62" i="8" s="1"/>
  <c r="I64" i="8" s="1"/>
  <c r="J33" i="8"/>
  <c r="J34" i="8" s="1"/>
  <c r="J37" i="8" s="1"/>
  <c r="I59" i="8"/>
  <c r="L117" i="8"/>
  <c r="K143" i="8"/>
  <c r="K144" i="8"/>
  <c r="H126" i="8"/>
  <c r="I120" i="8"/>
  <c r="G43" i="8"/>
  <c r="L118" i="8" l="1"/>
  <c r="L142" i="8" s="1"/>
  <c r="L144" i="8" s="1"/>
  <c r="I63" i="8"/>
  <c r="L139" i="8"/>
  <c r="M117" i="8"/>
  <c r="G48" i="8"/>
  <c r="G44" i="8"/>
  <c r="H39" i="8" s="1"/>
  <c r="J35" i="8"/>
  <c r="H123" i="8"/>
  <c r="M115" i="8"/>
  <c r="L143" i="8" l="1"/>
  <c r="H128" i="8"/>
  <c r="H124" i="8"/>
  <c r="I119" i="8" s="1"/>
  <c r="H41" i="8"/>
  <c r="H42" i="8" s="1"/>
  <c r="M118" i="8"/>
  <c r="M142" i="8" s="1"/>
  <c r="M116" i="8"/>
  <c r="N113" i="8" s="1"/>
  <c r="J36" i="8"/>
  <c r="J38" i="8"/>
  <c r="J62" i="8" s="1"/>
  <c r="G60" i="8"/>
  <c r="M139" i="8" l="1"/>
  <c r="M144" i="8"/>
  <c r="M143" i="8"/>
  <c r="J63" i="8"/>
  <c r="J64" i="8"/>
  <c r="K33" i="8"/>
  <c r="J59" i="8"/>
  <c r="H140" i="8"/>
  <c r="N114" i="8"/>
  <c r="I121" i="8"/>
  <c r="I122" i="8" s="1"/>
  <c r="I127" i="8" s="1"/>
  <c r="H45" i="8"/>
  <c r="H47" i="8"/>
  <c r="N117" i="8" l="1"/>
  <c r="N115" i="8"/>
  <c r="N118" i="8" s="1"/>
  <c r="N142" i="8" s="1"/>
  <c r="K34" i="8"/>
  <c r="I40" i="8"/>
  <c r="H46" i="8"/>
  <c r="I125" i="8"/>
  <c r="K37" i="8" l="1"/>
  <c r="N116" i="8"/>
  <c r="O113" i="8" s="1"/>
  <c r="O114" i="8" s="1"/>
  <c r="J120" i="8"/>
  <c r="I126" i="8"/>
  <c r="H43" i="8"/>
  <c r="K35" i="8"/>
  <c r="N143" i="8"/>
  <c r="N144" i="8"/>
  <c r="O117" i="8" l="1"/>
  <c r="N139" i="8"/>
  <c r="O115" i="8"/>
  <c r="O116" i="8" s="1"/>
  <c r="K36" i="8"/>
  <c r="L33" i="8" s="1"/>
  <c r="H48" i="8"/>
  <c r="H44" i="8"/>
  <c r="I39" i="8" s="1"/>
  <c r="K38" i="8"/>
  <c r="K62" i="8" s="1"/>
  <c r="I123" i="8"/>
  <c r="O118" i="8" l="1"/>
  <c r="O142" i="8" s="1"/>
  <c r="O144" i="8" s="1"/>
  <c r="I128" i="8"/>
  <c r="I124" i="8"/>
  <c r="J119" i="8" s="1"/>
  <c r="P113" i="8"/>
  <c r="O139" i="8"/>
  <c r="K63" i="8"/>
  <c r="K64" i="8"/>
  <c r="H60" i="8"/>
  <c r="I41" i="8"/>
  <c r="I42" i="8" s="1"/>
  <c r="I47" i="8" s="1"/>
  <c r="L34" i="8"/>
  <c r="K59" i="8"/>
  <c r="L37" i="8" l="1"/>
  <c r="O143" i="8"/>
  <c r="L35" i="8"/>
  <c r="L36" i="8" s="1"/>
  <c r="I45" i="8"/>
  <c r="P114" i="8"/>
  <c r="I140" i="8"/>
  <c r="J121" i="8"/>
  <c r="J122" i="8" s="1"/>
  <c r="J127" i="8" s="1"/>
  <c r="P117" i="8" l="1"/>
  <c r="M33" i="8"/>
  <c r="M34" i="8" s="1"/>
  <c r="L59" i="8"/>
  <c r="L38" i="8"/>
  <c r="L62" i="8" s="1"/>
  <c r="L63" i="8" s="1"/>
  <c r="P115" i="8"/>
  <c r="J125" i="8"/>
  <c r="J40" i="8"/>
  <c r="I46" i="8"/>
  <c r="M37" i="8" l="1"/>
  <c r="L64" i="8"/>
  <c r="P118" i="8"/>
  <c r="P142" i="8" s="1"/>
  <c r="P116" i="8"/>
  <c r="Q113" i="8" s="1"/>
  <c r="Q114" i="8" s="1"/>
  <c r="M35" i="8"/>
  <c r="I43" i="8"/>
  <c r="K120" i="8"/>
  <c r="J126" i="8"/>
  <c r="Q115" i="8" l="1"/>
  <c r="Q117" i="8"/>
  <c r="P139" i="8"/>
  <c r="P144" i="8"/>
  <c r="P143" i="8"/>
  <c r="I48" i="8"/>
  <c r="I44" i="8"/>
  <c r="J39" i="8" s="1"/>
  <c r="J123" i="8"/>
  <c r="M38" i="8"/>
  <c r="M62" i="8" s="1"/>
  <c r="M36" i="8"/>
  <c r="N33" i="8" s="1"/>
  <c r="Q118" i="8" l="1"/>
  <c r="Q142" i="8" s="1"/>
  <c r="Q116" i="8"/>
  <c r="M59" i="8"/>
  <c r="N34" i="8"/>
  <c r="M63" i="8"/>
  <c r="M64" i="8"/>
  <c r="J41" i="8"/>
  <c r="J42" i="8" s="1"/>
  <c r="J47" i="8" s="1"/>
  <c r="J128" i="8"/>
  <c r="J124" i="8"/>
  <c r="K119" i="8" s="1"/>
  <c r="I60" i="8"/>
  <c r="N37" i="8" l="1"/>
  <c r="N35" i="8"/>
  <c r="N38" i="8" s="1"/>
  <c r="N62" i="8" s="1"/>
  <c r="J140" i="8"/>
  <c r="R113" i="8"/>
  <c r="Q139" i="8"/>
  <c r="Q143" i="8"/>
  <c r="Q144" i="8"/>
  <c r="J45" i="8"/>
  <c r="K121" i="8"/>
  <c r="K122" i="8" s="1"/>
  <c r="K127" i="8" s="1"/>
  <c r="N36" i="8" l="1"/>
  <c r="O33" i="8" s="1"/>
  <c r="O34" i="8" s="1"/>
  <c r="R114" i="8"/>
  <c r="K125" i="8"/>
  <c r="N64" i="8"/>
  <c r="N63" i="8"/>
  <c r="K40" i="8"/>
  <c r="J46" i="8"/>
  <c r="R115" i="8" l="1"/>
  <c r="R118" i="8" s="1"/>
  <c r="R142" i="8" s="1"/>
  <c r="R143" i="8" s="1"/>
  <c r="O37" i="8"/>
  <c r="O35" i="8"/>
  <c r="O38" i="8" s="1"/>
  <c r="O62" i="8" s="1"/>
  <c r="N59" i="8"/>
  <c r="R117" i="8"/>
  <c r="J43" i="8"/>
  <c r="L120" i="8"/>
  <c r="K126" i="8"/>
  <c r="R116" i="8" l="1"/>
  <c r="S113" i="8" s="1"/>
  <c r="S114" i="8" s="1"/>
  <c r="S117" i="8" s="1"/>
  <c r="R144" i="8"/>
  <c r="O36" i="8"/>
  <c r="P33" i="8" s="1"/>
  <c r="P34" i="8" s="1"/>
  <c r="O64" i="8"/>
  <c r="O63" i="8"/>
  <c r="J48" i="8"/>
  <c r="J44" i="8"/>
  <c r="K39" i="8" s="1"/>
  <c r="K123" i="8"/>
  <c r="R139" i="8" l="1"/>
  <c r="O59" i="8"/>
  <c r="S115" i="8"/>
  <c r="S116" i="8" s="1"/>
  <c r="T113" i="8" s="1"/>
  <c r="P37" i="8"/>
  <c r="P35" i="8"/>
  <c r="K128" i="8"/>
  <c r="K124" i="8"/>
  <c r="L119" i="8" s="1"/>
  <c r="J60" i="8"/>
  <c r="K41" i="8"/>
  <c r="K42" i="8" s="1"/>
  <c r="K47" i="8" s="1"/>
  <c r="K140" i="8" l="1"/>
  <c r="T114" i="8"/>
  <c r="P38" i="8"/>
  <c r="P62" i="8" s="1"/>
  <c r="P36" i="8"/>
  <c r="Q33" i="8" s="1"/>
  <c r="S118" i="8"/>
  <c r="S142" i="8" s="1"/>
  <c r="S139" i="8"/>
  <c r="K45" i="8"/>
  <c r="L121" i="8"/>
  <c r="L122" i="8" s="1"/>
  <c r="L127" i="8" s="1"/>
  <c r="P59" i="8" l="1"/>
  <c r="Q34" i="8"/>
  <c r="T115" i="8"/>
  <c r="T117" i="8"/>
  <c r="S144" i="8"/>
  <c r="S143" i="8"/>
  <c r="P63" i="8"/>
  <c r="P64" i="8"/>
  <c r="L40" i="8"/>
  <c r="K46" i="8"/>
  <c r="L125" i="8"/>
  <c r="Q37" i="8" l="1"/>
  <c r="Q35" i="8"/>
  <c r="Q38" i="8" s="1"/>
  <c r="Q62" i="8" s="1"/>
  <c r="Q63" i="8" s="1"/>
  <c r="T118" i="8"/>
  <c r="T142" i="8" s="1"/>
  <c r="T116" i="8"/>
  <c r="U113" i="8" s="1"/>
  <c r="M120" i="8"/>
  <c r="L126" i="8"/>
  <c r="L123" i="8" s="1"/>
  <c r="K43" i="8"/>
  <c r="T139" i="8" l="1"/>
  <c r="Q64" i="8"/>
  <c r="Q36" i="8"/>
  <c r="R33" i="8" s="1"/>
  <c r="T143" i="8"/>
  <c r="T144" i="8"/>
  <c r="U114" i="8"/>
  <c r="U117" i="8" s="1"/>
  <c r="K48" i="8"/>
  <c r="K44" i="8"/>
  <c r="L39" i="8" s="1"/>
  <c r="L128" i="8"/>
  <c r="L124" i="8"/>
  <c r="M119" i="8" s="1"/>
  <c r="U115" i="8" l="1"/>
  <c r="U118" i="8" s="1"/>
  <c r="U142" i="8" s="1"/>
  <c r="U144" i="8" s="1"/>
  <c r="L140" i="8"/>
  <c r="R34" i="8"/>
  <c r="Q59" i="8"/>
  <c r="K60" i="8"/>
  <c r="M121" i="8"/>
  <c r="M122" i="8" s="1"/>
  <c r="M127" i="8" s="1"/>
  <c r="L41" i="8"/>
  <c r="L42" i="8" s="1"/>
  <c r="L47" i="8" s="1"/>
  <c r="U116" i="8" l="1"/>
  <c r="V113" i="8" s="1"/>
  <c r="V114" i="8" s="1"/>
  <c r="V117" i="8" s="1"/>
  <c r="U143" i="8"/>
  <c r="L45" i="8"/>
  <c r="M40" i="8" s="1"/>
  <c r="R35" i="8"/>
  <c r="R37" i="8"/>
  <c r="M125" i="8"/>
  <c r="U139" i="8" l="1"/>
  <c r="L46" i="8"/>
  <c r="L43" i="8" s="1"/>
  <c r="V115" i="8"/>
  <c r="V118" i="8" s="1"/>
  <c r="V142" i="8" s="1"/>
  <c r="V144" i="8" s="1"/>
  <c r="R38" i="8"/>
  <c r="R62" i="8" s="1"/>
  <c r="R36" i="8"/>
  <c r="M126" i="8"/>
  <c r="N120" i="8"/>
  <c r="V143" i="8" l="1"/>
  <c r="V116" i="8"/>
  <c r="W113" i="8" s="1"/>
  <c r="S33" i="8"/>
  <c r="R59" i="8"/>
  <c r="R63" i="8"/>
  <c r="R64" i="8"/>
  <c r="L48" i="8"/>
  <c r="L44" i="8"/>
  <c r="M39" i="8" s="1"/>
  <c r="M123" i="8"/>
  <c r="V139" i="8" l="1"/>
  <c r="W114" i="8"/>
  <c r="W115" i="8" s="1"/>
  <c r="W118" i="8" s="1"/>
  <c r="W142" i="8" s="1"/>
  <c r="S34" i="8"/>
  <c r="L60" i="8"/>
  <c r="M128" i="8"/>
  <c r="M124" i="8"/>
  <c r="N119" i="8" s="1"/>
  <c r="M41" i="8"/>
  <c r="M42" i="8" s="1"/>
  <c r="M47" i="8" s="1"/>
  <c r="W117" i="8" l="1"/>
  <c r="W116" i="8"/>
  <c r="S35" i="8"/>
  <c r="S37" i="8"/>
  <c r="M45" i="8"/>
  <c r="N121" i="8"/>
  <c r="N122" i="8" s="1"/>
  <c r="N127" i="8" s="1"/>
  <c r="W143" i="8"/>
  <c r="W144" i="8"/>
  <c r="M140" i="8"/>
  <c r="X113" i="8" l="1"/>
  <c r="W139" i="8"/>
  <c r="S38" i="8"/>
  <c r="S62" i="8" s="1"/>
  <c r="S36" i="8"/>
  <c r="T33" i="8" s="1"/>
  <c r="N40" i="8"/>
  <c r="M46" i="8"/>
  <c r="N125" i="8"/>
  <c r="X114" i="8" l="1"/>
  <c r="X115" i="8" s="1"/>
  <c r="X118" i="8" s="1"/>
  <c r="X142" i="8" s="1"/>
  <c r="S59" i="8"/>
  <c r="T34" i="8"/>
  <c r="T37" i="8" s="1"/>
  <c r="S63" i="8"/>
  <c r="S64" i="8"/>
  <c r="O120" i="8"/>
  <c r="N126" i="8"/>
  <c r="M43" i="8"/>
  <c r="Y113" i="8"/>
  <c r="X117" i="8" l="1"/>
  <c r="X116" i="8"/>
  <c r="X139" i="8" s="1"/>
  <c r="T35" i="8"/>
  <c r="T38" i="8" s="1"/>
  <c r="T62" i="8" s="1"/>
  <c r="T64" i="8" s="1"/>
  <c r="N123" i="8"/>
  <c r="Y114" i="8"/>
  <c r="Y115" i="8"/>
  <c r="M48" i="8"/>
  <c r="M44" i="8"/>
  <c r="N39" i="8" s="1"/>
  <c r="X144" i="8"/>
  <c r="X143" i="8"/>
  <c r="T36" i="8" l="1"/>
  <c r="U33" i="8" s="1"/>
  <c r="U34" i="8" s="1"/>
  <c r="U37" i="8" s="1"/>
  <c r="T63" i="8"/>
  <c r="Y117" i="8"/>
  <c r="M60" i="8"/>
  <c r="Y118" i="8"/>
  <c r="Y116" i="8"/>
  <c r="Z113" i="8" s="1"/>
  <c r="N41" i="8"/>
  <c r="N42" i="8" s="1"/>
  <c r="N47" i="8" s="1"/>
  <c r="N128" i="8"/>
  <c r="N124" i="8"/>
  <c r="O119" i="8" s="1"/>
  <c r="T59" i="8" l="1"/>
  <c r="U35" i="8"/>
  <c r="U38" i="8" s="1"/>
  <c r="U62" i="8" s="1"/>
  <c r="U63" i="8" s="1"/>
  <c r="N45" i="8"/>
  <c r="O40" i="8" s="1"/>
  <c r="Y34" i="8"/>
  <c r="Z114" i="8"/>
  <c r="Z117" i="8" s="1"/>
  <c r="Y142" i="8"/>
  <c r="O121" i="8"/>
  <c r="O122" i="8" s="1"/>
  <c r="O127" i="8" s="1"/>
  <c r="N140" i="8"/>
  <c r="Y139" i="8"/>
  <c r="U36" i="8" l="1"/>
  <c r="V33" i="8" s="1"/>
  <c r="V34" i="8" s="1"/>
  <c r="V37" i="8" s="1"/>
  <c r="U64" i="8"/>
  <c r="N46" i="8"/>
  <c r="N43" i="8" s="1"/>
  <c r="Z115" i="8"/>
  <c r="Y35" i="8"/>
  <c r="Y37" i="8"/>
  <c r="Y143" i="8"/>
  <c r="Y144" i="8"/>
  <c r="Z116" i="8"/>
  <c r="AA113" i="8" s="1"/>
  <c r="Z118" i="8"/>
  <c r="O125" i="8"/>
  <c r="U59" i="8" l="1"/>
  <c r="V35" i="8"/>
  <c r="V38" i="8" s="1"/>
  <c r="V62" i="8" s="1"/>
  <c r="V63" i="8" s="1"/>
  <c r="Y38" i="8"/>
  <c r="Y62" i="8" s="1"/>
  <c r="Y36" i="8"/>
  <c r="Z33" i="8" s="1"/>
  <c r="Y59" i="8"/>
  <c r="P120" i="8"/>
  <c r="O126" i="8"/>
  <c r="Z142" i="8"/>
  <c r="AA114" i="8"/>
  <c r="N48" i="8"/>
  <c r="N44" i="8"/>
  <c r="O39" i="8" s="1"/>
  <c r="Z139" i="8"/>
  <c r="V36" i="8" l="1"/>
  <c r="W33" i="8" s="1"/>
  <c r="V64" i="8"/>
  <c r="Z34" i="8"/>
  <c r="Z35" i="8"/>
  <c r="Z38" i="8" s="1"/>
  <c r="Z62" i="8" s="1"/>
  <c r="Y63" i="8"/>
  <c r="Y64" i="8"/>
  <c r="AA117" i="8"/>
  <c r="Z144" i="8"/>
  <c r="Z143" i="8"/>
  <c r="O123" i="8"/>
  <c r="AA115" i="8"/>
  <c r="AA139" i="8" s="1"/>
  <c r="N60" i="8"/>
  <c r="AA116" i="8"/>
  <c r="AB113" i="8" s="1"/>
  <c r="O41" i="8"/>
  <c r="O42" i="8" s="1"/>
  <c r="O47" i="8" s="1"/>
  <c r="V59" i="8" l="1"/>
  <c r="W34" i="8"/>
  <c r="W37" i="8" s="1"/>
  <c r="Z64" i="8"/>
  <c r="Z63" i="8"/>
  <c r="Z36" i="8"/>
  <c r="AA33" i="8" s="1"/>
  <c r="Z37" i="8"/>
  <c r="Z59" i="8"/>
  <c r="O128" i="8"/>
  <c r="O124" i="8"/>
  <c r="P119" i="8" s="1"/>
  <c r="O45" i="8"/>
  <c r="AB114" i="8"/>
  <c r="AB117" i="8"/>
  <c r="AA118" i="8"/>
  <c r="AA142" i="8" s="1"/>
  <c r="W35" i="8" l="1"/>
  <c r="W38" i="8" s="1"/>
  <c r="W62" i="8" s="1"/>
  <c r="W64" i="8" s="1"/>
  <c r="AA34" i="8"/>
  <c r="AA35" i="8" s="1"/>
  <c r="AA143" i="8"/>
  <c r="AA144" i="8"/>
  <c r="AB115" i="8"/>
  <c r="O140" i="8"/>
  <c r="P121" i="8"/>
  <c r="P122" i="8" s="1"/>
  <c r="P127" i="8" s="1"/>
  <c r="P40" i="8"/>
  <c r="O46" i="8"/>
  <c r="W36" i="8" l="1"/>
  <c r="X33" i="8" s="1"/>
  <c r="X34" i="8" s="1"/>
  <c r="W63" i="8"/>
  <c r="AA38" i="8"/>
  <c r="AA62" i="8" s="1"/>
  <c r="AA36" i="8"/>
  <c r="AB33" i="8" s="1"/>
  <c r="AA37" i="8"/>
  <c r="AB118" i="8"/>
  <c r="AB142" i="8" s="1"/>
  <c r="AB116" i="8"/>
  <c r="O43" i="8"/>
  <c r="P125" i="8"/>
  <c r="W59" i="8" l="1"/>
  <c r="X35" i="8"/>
  <c r="X37" i="8"/>
  <c r="AB34" i="8"/>
  <c r="AB35" i="8"/>
  <c r="AA59" i="8"/>
  <c r="AA63" i="8"/>
  <c r="AA64" i="8"/>
  <c r="AC113" i="8"/>
  <c r="AB139" i="8"/>
  <c r="Q120" i="8"/>
  <c r="P126" i="8"/>
  <c r="O48" i="8"/>
  <c r="O44" i="8"/>
  <c r="P39" i="8" s="1"/>
  <c r="AB143" i="8"/>
  <c r="AB144" i="8"/>
  <c r="X38" i="8" l="1"/>
  <c r="X62" i="8" s="1"/>
  <c r="X36" i="8"/>
  <c r="Y33" i="8" s="1"/>
  <c r="AB36" i="8"/>
  <c r="AC33" i="8" s="1"/>
  <c r="AB38" i="8"/>
  <c r="AB62" i="8" s="1"/>
  <c r="AB59" i="8"/>
  <c r="AB37" i="8"/>
  <c r="O60" i="8"/>
  <c r="P41" i="8"/>
  <c r="P42" i="8" s="1"/>
  <c r="P47" i="8" s="1"/>
  <c r="P123" i="8"/>
  <c r="AC114" i="8"/>
  <c r="X59" i="8" l="1"/>
  <c r="X64" i="8"/>
  <c r="X63" i="8"/>
  <c r="AB64" i="8"/>
  <c r="AB63" i="8"/>
  <c r="AC34" i="8"/>
  <c r="AC35" i="8"/>
  <c r="AC38" i="8" s="1"/>
  <c r="AC62" i="8" s="1"/>
  <c r="P128" i="8"/>
  <c r="P124" i="8"/>
  <c r="Q119" i="8" s="1"/>
  <c r="P45" i="8"/>
  <c r="AC117" i="8"/>
  <c r="AC115" i="8"/>
  <c r="AC64" i="8" l="1"/>
  <c r="AC63" i="8"/>
  <c r="AC36" i="8"/>
  <c r="AD33" i="8" s="1"/>
  <c r="AC37" i="8"/>
  <c r="Q121" i="8"/>
  <c r="Q122" i="8" s="1"/>
  <c r="Q127" i="8" s="1"/>
  <c r="Q40" i="8"/>
  <c r="P46" i="8"/>
  <c r="P43" i="8" s="1"/>
  <c r="AC118" i="8"/>
  <c r="AC142" i="8" s="1"/>
  <c r="P140" i="8"/>
  <c r="AC116" i="8"/>
  <c r="AD113" i="8" s="1"/>
  <c r="AC139" i="8" l="1"/>
  <c r="AD34" i="8"/>
  <c r="AD37" i="8"/>
  <c r="AC59" i="8"/>
  <c r="P48" i="8"/>
  <c r="P44" i="8"/>
  <c r="Q39" i="8" s="1"/>
  <c r="AC144" i="8"/>
  <c r="AC143" i="8"/>
  <c r="Q125" i="8"/>
  <c r="AD114" i="8"/>
  <c r="AD115" i="8" s="1"/>
  <c r="AD35" i="8" l="1"/>
  <c r="AD38" i="8" s="1"/>
  <c r="AD62" i="8" s="1"/>
  <c r="AD118" i="8"/>
  <c r="AD142" i="8" s="1"/>
  <c r="AD117" i="8"/>
  <c r="R120" i="8"/>
  <c r="Q126" i="8"/>
  <c r="P60" i="8"/>
  <c r="Q41" i="8"/>
  <c r="Q42" i="8" s="1"/>
  <c r="Q47" i="8" s="1"/>
  <c r="AD116" i="8"/>
  <c r="AE113" i="8" s="1"/>
  <c r="AD64" i="8" l="1"/>
  <c r="AD63" i="8"/>
  <c r="AD36" i="8"/>
  <c r="AE33" i="8" s="1"/>
  <c r="AD59" i="8"/>
  <c r="AE114" i="8"/>
  <c r="AE117" i="8"/>
  <c r="Q45" i="8"/>
  <c r="AD144" i="8"/>
  <c r="AD143" i="8"/>
  <c r="Q123" i="8"/>
  <c r="AD139" i="8"/>
  <c r="AE34" i="8" l="1"/>
  <c r="AE35" i="8"/>
  <c r="AE38" i="8" s="1"/>
  <c r="AE62" i="8" s="1"/>
  <c r="Q46" i="8"/>
  <c r="R40" i="8"/>
  <c r="AE115" i="8"/>
  <c r="Q128" i="8"/>
  <c r="Q124" i="8"/>
  <c r="R119" i="8" s="1"/>
  <c r="AE64" i="8"/>
  <c r="AE63" i="8"/>
  <c r="AE37" i="8" l="1"/>
  <c r="AE36" i="8"/>
  <c r="AF33" i="8" s="1"/>
  <c r="AF34" i="8" s="1"/>
  <c r="AE59" i="8"/>
  <c r="Q140" i="8"/>
  <c r="AF37" i="8"/>
  <c r="AF35" i="8"/>
  <c r="AF36" i="8"/>
  <c r="AG33" i="8" s="1"/>
  <c r="AE118" i="8"/>
  <c r="AE142" i="8" s="1"/>
  <c r="AF59" i="8"/>
  <c r="AE116" i="8"/>
  <c r="AF113" i="8" s="1"/>
  <c r="Q43" i="8"/>
  <c r="R121" i="8"/>
  <c r="R122" i="8" s="1"/>
  <c r="R127" i="8" s="1"/>
  <c r="AG34" i="8" l="1"/>
  <c r="AG35" i="8"/>
  <c r="AG36" i="8"/>
  <c r="AH33" i="8" s="1"/>
  <c r="AF114" i="8"/>
  <c r="AE144" i="8"/>
  <c r="AE143" i="8"/>
  <c r="AG37" i="8"/>
  <c r="AF38" i="8"/>
  <c r="AF62" i="8" s="1"/>
  <c r="Q48" i="8"/>
  <c r="Q44" i="8"/>
  <c r="R39" i="8" s="1"/>
  <c r="AE139" i="8"/>
  <c r="R125" i="8"/>
  <c r="R41" i="8" l="1"/>
  <c r="R42" i="8" s="1"/>
  <c r="R47" i="8" s="1"/>
  <c r="AH34" i="8"/>
  <c r="AF117" i="8"/>
  <c r="AF115" i="8"/>
  <c r="AF116" i="8" s="1"/>
  <c r="AG113" i="8" s="1"/>
  <c r="AG59" i="8"/>
  <c r="S120" i="8"/>
  <c r="R126" i="8"/>
  <c r="AG38" i="8"/>
  <c r="AG62" i="8" s="1"/>
  <c r="AF64" i="8"/>
  <c r="AF63" i="8"/>
  <c r="Q60" i="8"/>
  <c r="AC61" i="8"/>
  <c r="AE61" i="8"/>
  <c r="AD61" i="8"/>
  <c r="AB61" i="8"/>
  <c r="J61" i="8" l="1"/>
  <c r="K61" i="8"/>
  <c r="L61" i="8"/>
  <c r="M61" i="8"/>
  <c r="N61" i="8"/>
  <c r="AG114" i="8"/>
  <c r="AF139" i="8"/>
  <c r="H61" i="8"/>
  <c r="P61" i="8"/>
  <c r="R61" i="8"/>
  <c r="B13" i="9"/>
  <c r="Q61" i="8"/>
  <c r="T61" i="8"/>
  <c r="S61" i="8"/>
  <c r="U61" i="8"/>
  <c r="I61" i="8"/>
  <c r="O61" i="8"/>
  <c r="V61" i="8"/>
  <c r="W61" i="8"/>
  <c r="X61" i="8"/>
  <c r="Y61" i="8"/>
  <c r="Z61" i="8"/>
  <c r="AA61" i="8"/>
  <c r="AF61" i="8"/>
  <c r="AG117" i="8"/>
  <c r="AF118" i="8"/>
  <c r="AF142" i="8" s="1"/>
  <c r="AG63" i="8"/>
  <c r="AG64" i="8"/>
  <c r="AG61" i="8"/>
  <c r="R123" i="8"/>
  <c r="AH37" i="8"/>
  <c r="R45" i="8"/>
  <c r="AH35" i="8"/>
  <c r="AH38" i="8" s="1"/>
  <c r="R128" i="8" l="1"/>
  <c r="R124" i="8"/>
  <c r="S119" i="8" s="1"/>
  <c r="B41" i="9"/>
  <c r="B12" i="10"/>
  <c r="S40" i="8"/>
  <c r="R46" i="8"/>
  <c r="AG115" i="8"/>
  <c r="AF144" i="8"/>
  <c r="AF143" i="8"/>
  <c r="AH62" i="8"/>
  <c r="B9" i="9"/>
  <c r="B37" i="9" s="1"/>
  <c r="B7" i="9"/>
  <c r="B35" i="9" s="1"/>
  <c r="AH36" i="8"/>
  <c r="AH59" i="8" s="1"/>
  <c r="R43" i="8" l="1"/>
  <c r="AG118" i="8"/>
  <c r="AG142" i="8" s="1"/>
  <c r="AG116" i="8"/>
  <c r="D41" i="9"/>
  <c r="D26" i="10" s="1"/>
  <c r="B26" i="10"/>
  <c r="S121" i="8"/>
  <c r="S122" i="8" s="1"/>
  <c r="S127" i="8" s="1"/>
  <c r="D35" i="9"/>
  <c r="D20" i="10" s="1"/>
  <c r="B20" i="10"/>
  <c r="R140" i="8"/>
  <c r="B22" i="10"/>
  <c r="D37" i="9"/>
  <c r="D22" i="10" s="1"/>
  <c r="AH63" i="8"/>
  <c r="AH64" i="8"/>
  <c r="B26" i="9" s="1"/>
  <c r="AH113" i="8" l="1"/>
  <c r="AG139" i="8"/>
  <c r="AG143" i="8"/>
  <c r="AG144" i="8"/>
  <c r="S125" i="8"/>
  <c r="R48" i="8"/>
  <c r="R44" i="8"/>
  <c r="S39" i="8" s="1"/>
  <c r="R60" i="8" l="1"/>
  <c r="T120" i="8"/>
  <c r="S126" i="8"/>
  <c r="S41" i="8"/>
  <c r="S42" i="8" s="1"/>
  <c r="S47" i="8" s="1"/>
  <c r="AH114" i="8"/>
  <c r="AH115" i="8"/>
  <c r="AH118" i="8" s="1"/>
  <c r="J141" i="8" l="1"/>
  <c r="K141" i="8"/>
  <c r="L141" i="8"/>
  <c r="N141" i="8"/>
  <c r="M141" i="8"/>
  <c r="I141" i="8"/>
  <c r="S141" i="8"/>
  <c r="V141" i="8"/>
  <c r="P141" i="8"/>
  <c r="R141" i="8"/>
  <c r="H141" i="8"/>
  <c r="D13" i="9"/>
  <c r="E41" i="9" s="1"/>
  <c r="U141" i="8"/>
  <c r="T141" i="8"/>
  <c r="O141" i="8"/>
  <c r="Q141" i="8"/>
  <c r="W141" i="8"/>
  <c r="X141" i="8"/>
  <c r="Y141" i="8"/>
  <c r="Z141" i="8"/>
  <c r="AA141" i="8"/>
  <c r="AB141" i="8"/>
  <c r="AF141" i="8"/>
  <c r="AC141" i="8"/>
  <c r="AH117" i="8"/>
  <c r="AD141" i="8"/>
  <c r="AE141" i="8"/>
  <c r="AG141" i="8"/>
  <c r="AH142" i="8"/>
  <c r="D7" i="9"/>
  <c r="E35" i="9" s="1"/>
  <c r="D9" i="9"/>
  <c r="E37" i="9" s="1"/>
  <c r="AH116" i="8"/>
  <c r="AH139" i="8" s="1"/>
  <c r="D55" i="10" s="1"/>
  <c r="S45" i="8"/>
  <c r="S123" i="8"/>
  <c r="F37" i="9" l="1"/>
  <c r="F22" i="10" s="1"/>
  <c r="E22" i="10"/>
  <c r="F35" i="9"/>
  <c r="F20" i="10" s="1"/>
  <c r="E20" i="10"/>
  <c r="AH144" i="8"/>
  <c r="D26" i="9" s="1"/>
  <c r="AH143" i="8"/>
  <c r="D58" i="10"/>
  <c r="S128" i="8"/>
  <c r="S124" i="8"/>
  <c r="T119" i="8" s="1"/>
  <c r="T40" i="8"/>
  <c r="S46" i="8"/>
  <c r="E26" i="10"/>
  <c r="F41" i="9"/>
  <c r="F26" i="10" s="1"/>
  <c r="T121" i="8" l="1"/>
  <c r="T122" i="8" s="1"/>
  <c r="T127" i="8" s="1"/>
  <c r="S43" i="8"/>
  <c r="S140" i="8"/>
  <c r="T125" i="8" l="1"/>
  <c r="U120" i="8" s="1"/>
  <c r="S48" i="8"/>
  <c r="S44" i="8"/>
  <c r="T39" i="8" s="1"/>
  <c r="T126" i="8" l="1"/>
  <c r="T123" i="8" s="1"/>
  <c r="T41" i="8"/>
  <c r="T42" i="8" s="1"/>
  <c r="T47" i="8" s="1"/>
  <c r="S60" i="8"/>
  <c r="T45" i="8" l="1"/>
  <c r="U40" i="8" s="1"/>
  <c r="T128" i="8"/>
  <c r="T124" i="8"/>
  <c r="U119" i="8" s="1"/>
  <c r="T46" i="8" l="1"/>
  <c r="T43" i="8" s="1"/>
  <c r="U121" i="8"/>
  <c r="U122" i="8" s="1"/>
  <c r="U127" i="8" s="1"/>
  <c r="T140" i="8"/>
  <c r="U125" i="8" l="1"/>
  <c r="T48" i="8"/>
  <c r="T44" i="8"/>
  <c r="U39" i="8" s="1"/>
  <c r="T60" i="8" l="1"/>
  <c r="U41" i="8"/>
  <c r="U42" i="8" s="1"/>
  <c r="U47" i="8" s="1"/>
  <c r="V120" i="8"/>
  <c r="U126" i="8"/>
  <c r="U45" i="8" l="1"/>
  <c r="V40" i="8" s="1"/>
  <c r="U123" i="8"/>
  <c r="U46" i="8" l="1"/>
  <c r="U43" i="8" s="1"/>
  <c r="U128" i="8"/>
  <c r="U124" i="8"/>
  <c r="V119" i="8" s="1"/>
  <c r="U48" i="8" l="1"/>
  <c r="U44" i="8"/>
  <c r="V39" i="8" s="1"/>
  <c r="U140" i="8"/>
  <c r="V121" i="8"/>
  <c r="V122" i="8" s="1"/>
  <c r="V127" i="8" s="1"/>
  <c r="V41" i="8" l="1"/>
  <c r="V42" i="8" s="1"/>
  <c r="V45" i="8" s="1"/>
  <c r="V125" i="8"/>
  <c r="U60" i="8"/>
  <c r="W40" i="8" l="1"/>
  <c r="V46" i="8"/>
  <c r="W120" i="8"/>
  <c r="V126" i="8"/>
  <c r="V47" i="8"/>
  <c r="V123" i="8" l="1"/>
  <c r="V43" i="8"/>
  <c r="V48" i="8" l="1"/>
  <c r="V44" i="8"/>
  <c r="W39" i="8" s="1"/>
  <c r="V128" i="8"/>
  <c r="V124" i="8"/>
  <c r="W119" i="8" s="1"/>
  <c r="V140" i="8" l="1"/>
  <c r="V60" i="8"/>
  <c r="W121" i="8"/>
  <c r="W122" i="8" s="1"/>
  <c r="W127" i="8" s="1"/>
  <c r="W41" i="8"/>
  <c r="W42" i="8" s="1"/>
  <c r="W125" i="8" l="1"/>
  <c r="X120" i="8" s="1"/>
  <c r="W47" i="8"/>
  <c r="W45" i="8"/>
  <c r="W126" i="8" l="1"/>
  <c r="W123" i="8" s="1"/>
  <c r="X40" i="8"/>
  <c r="W46" i="8"/>
  <c r="W128" i="8" l="1"/>
  <c r="W124" i="8"/>
  <c r="X119" i="8" s="1"/>
  <c r="W43" i="8"/>
  <c r="W48" i="8" l="1"/>
  <c r="W44" i="8"/>
  <c r="X39" i="8" s="1"/>
  <c r="X121" i="8"/>
  <c r="X122" i="8" s="1"/>
  <c r="X127" i="8" s="1"/>
  <c r="W140" i="8"/>
  <c r="X125" i="8" l="1"/>
  <c r="X41" i="8"/>
  <c r="X42" i="8" s="1"/>
  <c r="W60" i="8"/>
  <c r="X45" i="8" l="1"/>
  <c r="X47" i="8"/>
  <c r="Y120" i="8"/>
  <c r="X126" i="8"/>
  <c r="X123" i="8" l="1"/>
  <c r="Y40" i="8"/>
  <c r="X46" i="8"/>
  <c r="X43" i="8" l="1"/>
  <c r="X128" i="8"/>
  <c r="X124" i="8"/>
  <c r="X140" i="8" l="1"/>
  <c r="Y119" i="8"/>
  <c r="X48" i="8"/>
  <c r="X44" i="8"/>
  <c r="X60" i="8" l="1"/>
  <c r="Y39" i="8"/>
  <c r="Y121" i="8"/>
  <c r="Y122" i="8" s="1"/>
  <c r="Y127" i="8" s="1"/>
  <c r="Y41" i="8" l="1"/>
  <c r="Y42" i="8" s="1"/>
  <c r="Y125" i="8"/>
  <c r="Z120" i="8" l="1"/>
  <c r="Y126" i="8"/>
  <c r="Y47" i="8"/>
  <c r="Y45" i="8"/>
  <c r="Z40" i="8" l="1"/>
  <c r="Y46" i="8"/>
  <c r="Y123" i="8"/>
  <c r="Y128" i="8" l="1"/>
  <c r="Y124" i="8"/>
  <c r="Z119" i="8" s="1"/>
  <c r="Y140" i="8"/>
  <c r="Y43" i="8"/>
  <c r="Y48" i="8" l="1"/>
  <c r="Y44" i="8"/>
  <c r="Z39" i="8" s="1"/>
  <c r="Z121" i="8"/>
  <c r="Z122" i="8" s="1"/>
  <c r="Z127" i="8" s="1"/>
  <c r="Z125" i="8" l="1"/>
  <c r="Z41" i="8"/>
  <c r="Z42" i="8" s="1"/>
  <c r="Y60" i="8"/>
  <c r="Z47" i="8" l="1"/>
  <c r="Z45" i="8"/>
  <c r="AA120" i="8"/>
  <c r="Z126" i="8"/>
  <c r="AA40" i="8" l="1"/>
  <c r="Z46" i="8"/>
  <c r="Z123" i="8"/>
  <c r="Z128" i="8" l="1"/>
  <c r="Z124" i="8"/>
  <c r="AA119" i="8" s="1"/>
  <c r="Z140" i="8"/>
  <c r="Z43" i="8"/>
  <c r="Z48" i="8" l="1"/>
  <c r="Z44" i="8"/>
  <c r="AA39" i="8" s="1"/>
  <c r="AA121" i="8"/>
  <c r="AA122" i="8" s="1"/>
  <c r="AA127" i="8" s="1"/>
  <c r="AA125" i="8" l="1"/>
  <c r="AA41" i="8"/>
  <c r="AA42" i="8" s="1"/>
  <c r="AA47" i="8" s="1"/>
  <c r="Z60" i="8"/>
  <c r="AA45" i="8" l="1"/>
  <c r="AB120" i="8"/>
  <c r="AA126" i="8"/>
  <c r="AA123" i="8" l="1"/>
  <c r="AB40" i="8"/>
  <c r="AA46" i="8"/>
  <c r="AA43" i="8" l="1"/>
  <c r="AA128" i="8"/>
  <c r="AA124" i="8"/>
  <c r="AB119" i="8" s="1"/>
  <c r="AA140" i="8" l="1"/>
  <c r="AB121" i="8"/>
  <c r="AB122" i="8" s="1"/>
  <c r="AB127" i="8" s="1"/>
  <c r="AB125" i="8"/>
  <c r="AA48" i="8"/>
  <c r="AA44" i="8"/>
  <c r="AB39" i="8" s="1"/>
  <c r="AC120" i="8" l="1"/>
  <c r="AB126" i="8"/>
  <c r="AB41" i="8"/>
  <c r="AB42" i="8" s="1"/>
  <c r="AB47" i="8" s="1"/>
  <c r="AA60" i="8"/>
  <c r="AB123" i="8" l="1"/>
  <c r="AB45" i="8"/>
  <c r="AC40" i="8" l="1"/>
  <c r="AB46" i="8"/>
  <c r="AB128" i="8"/>
  <c r="AB124" i="8"/>
  <c r="AC119" i="8" s="1"/>
  <c r="AC121" i="8" l="1"/>
  <c r="AC122" i="8" s="1"/>
  <c r="AC127" i="8" s="1"/>
  <c r="AB140" i="8"/>
  <c r="AB43" i="8"/>
  <c r="AB48" i="8" l="1"/>
  <c r="AB44" i="8"/>
  <c r="AC39" i="8" s="1"/>
  <c r="AB60" i="8"/>
  <c r="AC125" i="8"/>
  <c r="AD120" i="8" l="1"/>
  <c r="AC126" i="8"/>
  <c r="AC41" i="8"/>
  <c r="AC42" i="8" s="1"/>
  <c r="AC47" i="8" s="1"/>
  <c r="AC45" i="8" l="1"/>
  <c r="AC123" i="8"/>
  <c r="AC128" i="8" l="1"/>
  <c r="AC124" i="8"/>
  <c r="AD119" i="8" s="1"/>
  <c r="AC140" i="8"/>
  <c r="AD40" i="8"/>
  <c r="AC46" i="8"/>
  <c r="AC43" i="8" l="1"/>
  <c r="AD121" i="8"/>
  <c r="AD122" i="8" s="1"/>
  <c r="AD127" i="8" s="1"/>
  <c r="AD125" i="8" l="1"/>
  <c r="AC48" i="8"/>
  <c r="AC44" i="8"/>
  <c r="AD39" i="8" s="1"/>
  <c r="AD41" i="8" l="1"/>
  <c r="AD42" i="8" s="1"/>
  <c r="AD47" i="8" s="1"/>
  <c r="AC60" i="8"/>
  <c r="AE120" i="8"/>
  <c r="AD126" i="8"/>
  <c r="AD123" i="8" l="1"/>
  <c r="AD45" i="8"/>
  <c r="AE40" i="8" l="1"/>
  <c r="AD46" i="8"/>
  <c r="AD128" i="8"/>
  <c r="AD124" i="8"/>
  <c r="AE119" i="8" s="1"/>
  <c r="AD140" i="8" l="1"/>
  <c r="AE121" i="8"/>
  <c r="AE122" i="8" s="1"/>
  <c r="AE127" i="8" s="1"/>
  <c r="AD43" i="8"/>
  <c r="AD48" i="8" l="1"/>
  <c r="AD44" i="8"/>
  <c r="AE39" i="8" s="1"/>
  <c r="AD60" i="8"/>
  <c r="AE125" i="8"/>
  <c r="AF120" i="8" l="1"/>
  <c r="AE126" i="8"/>
  <c r="AE41" i="8"/>
  <c r="AE42" i="8" s="1"/>
  <c r="AE47" i="8" s="1"/>
  <c r="AE45" i="8" l="1"/>
  <c r="AE123" i="8"/>
  <c r="AE128" i="8" l="1"/>
  <c r="AE124" i="8"/>
  <c r="AF119" i="8" s="1"/>
  <c r="AE140" i="8"/>
  <c r="AF40" i="8"/>
  <c r="AE46" i="8"/>
  <c r="AE43" i="8" l="1"/>
  <c r="AF121" i="8"/>
  <c r="AF122" i="8" s="1"/>
  <c r="AF127" i="8" s="1"/>
  <c r="AF125" i="8" l="1"/>
  <c r="AE48" i="8"/>
  <c r="AE44" i="8"/>
  <c r="AF39" i="8" s="1"/>
  <c r="AE60" i="8" l="1"/>
  <c r="AF41" i="8"/>
  <c r="AF42" i="8" s="1"/>
  <c r="AF47" i="8" s="1"/>
  <c r="AG120" i="8"/>
  <c r="AF126" i="8"/>
  <c r="AF123" i="8" l="1"/>
  <c r="AF45" i="8"/>
  <c r="AG40" i="8" l="1"/>
  <c r="AF46" i="8"/>
  <c r="AF128" i="8"/>
  <c r="AF124" i="8"/>
  <c r="AG119" i="8" s="1"/>
  <c r="AF140" i="8"/>
  <c r="AG121" i="8" l="1"/>
  <c r="AG122" i="8" s="1"/>
  <c r="AG127" i="8" s="1"/>
  <c r="AF43" i="8"/>
  <c r="AF48" i="8" l="1"/>
  <c r="AF44" i="8"/>
  <c r="AG39" i="8" s="1"/>
  <c r="AG125" i="8"/>
  <c r="AG41" i="8" l="1"/>
  <c r="AG42" i="8" s="1"/>
  <c r="AG47" i="8" s="1"/>
  <c r="AG45" i="8"/>
  <c r="AH120" i="8"/>
  <c r="AG126" i="8"/>
  <c r="AF60" i="8"/>
  <c r="AG123" i="8" l="1"/>
  <c r="AH40" i="8"/>
  <c r="AG46" i="8"/>
  <c r="AG43" i="8" l="1"/>
  <c r="AG128" i="8"/>
  <c r="AG124" i="8"/>
  <c r="AH119" i="8" s="1"/>
  <c r="AG140" i="8" l="1"/>
  <c r="AH121" i="8"/>
  <c r="AH122" i="8" s="1"/>
  <c r="AH127" i="8" s="1"/>
  <c r="AG48" i="8"/>
  <c r="AG44" i="8"/>
  <c r="AH39" i="8" s="1"/>
  <c r="AG60" i="8" l="1"/>
  <c r="AH41" i="8"/>
  <c r="AH42" i="8" s="1"/>
  <c r="AH125" i="8"/>
  <c r="D14" i="9" l="1"/>
  <c r="AH126" i="8"/>
  <c r="AH123" i="8" s="1"/>
  <c r="D57" i="10"/>
  <c r="AH47" i="8"/>
  <c r="AH45" i="8"/>
  <c r="B14" i="9" l="1"/>
  <c r="AH46" i="8"/>
  <c r="AH43" i="8" s="1"/>
  <c r="AH128" i="8"/>
  <c r="AH124" i="8"/>
  <c r="AH140" i="8" s="1"/>
  <c r="D27" i="9"/>
  <c r="E42" i="9"/>
  <c r="F42" i="9" l="1"/>
  <c r="E27" i="10"/>
  <c r="AH48" i="8"/>
  <c r="AH44" i="8"/>
  <c r="AH60" i="8" s="1"/>
  <c r="D56" i="10" s="1"/>
  <c r="B42" i="9"/>
  <c r="B13" i="10"/>
  <c r="B27" i="9"/>
  <c r="A30" i="10" s="1"/>
  <c r="D42" i="9" l="1"/>
  <c r="D27" i="10" s="1"/>
  <c r="B27" i="10"/>
  <c r="B48" i="9"/>
  <c r="B46" i="9"/>
  <c r="B50" i="9"/>
  <c r="E46" i="9"/>
  <c r="F27" i="10"/>
  <c r="A15" i="10" l="1"/>
  <c r="A5" i="10"/>
</calcChain>
</file>

<file path=xl/sharedStrings.xml><?xml version="1.0" encoding="utf-8"?>
<sst xmlns="http://schemas.openxmlformats.org/spreadsheetml/2006/main" count="1032" uniqueCount="499">
  <si>
    <t>使用说明 · 模拟数据</t>
  </si>
  <si>
    <t>核心参数输入 · 模拟数据</t>
  </si>
  <si>
    <t>建筑面积与开发计划 · 模拟数据</t>
  </si>
  <si>
    <t>投资与资金安排 · 模拟数据</t>
  </si>
  <si>
    <t>销售与出租收入 · 模拟数据</t>
  </si>
  <si>
    <t>运营成本与税费 · 模拟数据</t>
  </si>
  <si>
    <t>融资与还本付息 · 模拟数据</t>
  </si>
  <si>
    <t>利润与现金流 · 模拟数据</t>
  </si>
  <si>
    <t>指标与情景测算 · 模拟数据</t>
  </si>
  <si>
    <t>决策看板 · 模拟数据</t>
  </si>
  <si>
    <t>参数名称</t>
  </si>
  <si>
    <t>输入值</t>
  </si>
  <si>
    <t>单位</t>
  </si>
  <si>
    <t>说明</t>
  </si>
  <si>
    <t>基础与建筑参数</t>
  </si>
  <si>
    <t>项目名称</t>
  </si>
  <si>
    <t>文本</t>
  </si>
  <si>
    <t>全部数据为虚构模拟数据</t>
  </si>
  <si>
    <t>测算起始年份</t>
  </si>
  <si>
    <t>年</t>
  </si>
  <si>
    <t>第0年的日历年份；年度支出采用年末时点</t>
  </si>
  <si>
    <t>测算期限</t>
  </si>
  <si>
    <t>实际范围第0年至第N年，预留至30年；须覆盖贷款到期</t>
  </si>
  <si>
    <t>土地面积</t>
  </si>
  <si>
    <t>平方米</t>
  </si>
  <si>
    <t>地上面积＝土地面积×容积率</t>
  </si>
  <si>
    <t>容积率</t>
  </si>
  <si>
    <t>倍</t>
  </si>
  <si>
    <t>地上总建筑面积口径</t>
  </si>
  <si>
    <t>地上可经营面积占比</t>
  </si>
  <si>
    <t>%</t>
  </si>
  <si>
    <t>其余为公共及非经营空间；共同成本仍计入</t>
  </si>
  <si>
    <t>地下建筑面积</t>
  </si>
  <si>
    <t>地下空间不独立产生收入</t>
  </si>
  <si>
    <t>可经营面积销售占比</t>
  </si>
  <si>
    <t>严格大于0且小于100%；销售部分出售前也不出租</t>
  </si>
  <si>
    <t>出租占比（自动）</t>
  </si>
  <si>
    <t>自动＝1－销售占比</t>
  </si>
  <si>
    <t>建设年限</t>
  </si>
  <si>
    <t>第1年至第K年；土地在第0年支付</t>
  </si>
  <si>
    <t>销售开始年份</t>
  </si>
  <si>
    <t>项目第几年</t>
  </si>
  <si>
    <t>必须晚于建设完成年；年度销售比例在下方输入</t>
  </si>
  <si>
    <t>出租开始年份</t>
  </si>
  <si>
    <t>必须晚于建设完成年；运营固定成本从K+1年开始</t>
  </si>
  <si>
    <t>投资参数</t>
  </si>
  <si>
    <t>土地单价</t>
  </si>
  <si>
    <t>元/平方米</t>
  </si>
  <si>
    <t>仅土地取得价款；不计入建筑折旧</t>
  </si>
  <si>
    <t>地上单方建安成本</t>
  </si>
  <si>
    <t>不含下列配套、前期、管理费用</t>
  </si>
  <si>
    <t>地下单方建安成本</t>
  </si>
  <si>
    <t>地下工程；不与地上重复</t>
  </si>
  <si>
    <t>园区配套工程费用</t>
  </si>
  <si>
    <t>万元</t>
  </si>
  <si>
    <t>园区道路、管网、公共配套；不含建安主体</t>
  </si>
  <si>
    <t>勘察设计咨询前期费用</t>
  </si>
  <si>
    <t>不含建安及管理费用</t>
  </si>
  <si>
    <t>管理及其他建设费用</t>
  </si>
  <si>
    <t>建设管理等；不含融资利息和运营成本</t>
  </si>
  <si>
    <t>预备费比例</t>
  </si>
  <si>
    <t>基数＝全部非土地建设费用（建安、配套、前期、管理）</t>
  </si>
  <si>
    <t>初始运营周转资金</t>
  </si>
  <si>
    <t>K+1年投入，期末全额回收；不计入费用及折旧</t>
  </si>
  <si>
    <t>销售参数</t>
  </si>
  <si>
    <t>销售均价</t>
  </si>
  <si>
    <t>简化含税成交/实收口径；销售当年全额收款</t>
  </si>
  <si>
    <t>销售费用率</t>
  </si>
  <si>
    <t>销售回款×费用率</t>
  </si>
  <si>
    <t>简化销售相关税费率</t>
  </si>
  <si>
    <t>含税回款×综合率；不另行建立增值税抵扣</t>
  </si>
  <si>
    <t>出租参数</t>
  </si>
  <si>
    <t>初始月租金</t>
  </si>
  <si>
    <t>元/平方米/月</t>
  </si>
  <si>
    <t>出租首年价格；按12个月换算后除10000为万元</t>
  </si>
  <si>
    <t>年租金增长率</t>
  </si>
  <si>
    <t>从出租开始年递增</t>
  </si>
  <si>
    <t>出租第1年出租率</t>
  </si>
  <si>
    <t>全年占用面积比例；新增面积仅当年一次免租</t>
  </si>
  <si>
    <t>出租第2年出租率</t>
  </si>
  <si>
    <t>前期爬坡参数集中输入</t>
  </si>
  <si>
    <t>出租第3年出租率</t>
  </si>
  <si>
    <t>出租率须不下降；不模拟租户更替</t>
  </si>
  <si>
    <t>第4年起稳定出租率</t>
  </si>
  <si>
    <t>稳定出租率直接驱动第4个出租年度以后</t>
  </si>
  <si>
    <t>新增出租面积平均免租月数</t>
  </si>
  <si>
    <t>月</t>
  </si>
  <si>
    <t>0—12月；同一面积不重复免租</t>
  </si>
  <si>
    <t>租金收缴率</t>
  </si>
  <si>
    <t>实收租金，同时作为简化收入确认口径</t>
  </si>
  <si>
    <t>其他经营收入比例</t>
  </si>
  <si>
    <t>实收租金×比例；属于持有经营收入</t>
  </si>
  <si>
    <t>运营与税费参数</t>
  </si>
  <si>
    <t>运营首年固定成本</t>
  </si>
  <si>
    <t>万元/年</t>
  </si>
  <si>
    <t>仅持有部分：人员、管理、保险等；K+1年即承担</t>
  </si>
  <si>
    <t>固定成本年度增长率</t>
  </si>
  <si>
    <t>自K+1年起递增，与是否出租无关</t>
  </si>
  <si>
    <t>变动运营成本率</t>
  </si>
  <si>
    <t>实收租金及其他经营收入×比例；不含维护更新</t>
  </si>
  <si>
    <t>年度维护更新支出</t>
  </si>
  <si>
    <t>K+1年起每年发生；费用化并当期税前扣除，不再折旧</t>
  </si>
  <si>
    <t>简化运营相关税费率</t>
  </si>
  <si>
    <t>租金及其他经营收入×综合率；不另计复杂税种</t>
  </si>
  <si>
    <t>企业所得税率</t>
  </si>
  <si>
    <t>年度正利润缴税；负利润不缴，不模拟亏损结转</t>
  </si>
  <si>
    <t>持有建筑物折旧年限</t>
  </si>
  <si>
    <t>K+1年起直线法；项目口径不含融资利息，资本金口径含资本化利息</t>
  </si>
  <si>
    <t>建筑物残值率</t>
  </si>
  <si>
    <t>仅影响账面价值，不能自动变成现金收入</t>
  </si>
  <si>
    <t>融资与资本金参数</t>
  </si>
  <si>
    <t>贷款金额</t>
  </si>
  <si>
    <t>一笔贷款；按年度建设投资比例提款，不能超过非土地建设支出</t>
  </si>
  <si>
    <t>贷款年利率</t>
  </si>
  <si>
    <t>利息＝（期初本金＋当年提款/2－当年还本/2）×利率</t>
  </si>
  <si>
    <t>贷款期限</t>
  </si>
  <si>
    <t>从首次提款年算起：到期年＝首次提款年＋期限－1</t>
  </si>
  <si>
    <t>开始偿还本金年份</t>
  </si>
  <si>
    <t>晚于建设完成年；到期前等额本金；不主动额外提前还款</t>
  </si>
  <si>
    <t>可投入资本金总额度</t>
  </si>
  <si>
    <t>按需投入且不突破额度；缺口单列，不作为真实资金</t>
  </si>
  <si>
    <t>期末处置参数</t>
  </si>
  <si>
    <t>是否计入期末处置</t>
  </si>
  <si>
    <t>0关闭/1开启</t>
  </si>
  <si>
    <t>默认关闭；仅处置持有物业，未售存货不自动变现</t>
  </si>
  <si>
    <t>持有物业期末处置价值</t>
  </si>
  <si>
    <t>直接给定第N年的持有物业含税总售价，非账面值</t>
  </si>
  <si>
    <t>期末处置费用率</t>
  </si>
  <si>
    <t>处置价×综合交易费用率（含简化交易税费）；处置净收益另纳入所得税</t>
  </si>
  <si>
    <t>决策阈值（模拟判断标准，可自行修改）</t>
  </si>
  <si>
    <t>项目税后IRR最低值</t>
  </si>
  <si>
    <t>模拟阈值，非实际投资标准</t>
  </si>
  <si>
    <t>资本金IRR最低值</t>
  </si>
  <si>
    <t>资金不足时仅为完整出资的理论结果</t>
  </si>
  <si>
    <t>项目折现率</t>
  </si>
  <si>
    <t>项目NPV及动态回收期折现率</t>
  </si>
  <si>
    <t>资本金折现率</t>
  </si>
  <si>
    <t>资本金NPV折现率</t>
  </si>
  <si>
    <t>静态投资回收期上限</t>
  </si>
  <si>
    <t>含第0年及建设期；项目投资现金流口径</t>
  </si>
  <si>
    <t>动态投资回收期上限</t>
  </si>
  <si>
    <t>按项目折现率；测算期内未回收视为不达标</t>
  </si>
  <si>
    <t>最低偿债覆盖倍数</t>
  </si>
  <si>
    <t>仅统计建成以后存在本息偿付的年度</t>
  </si>
  <si>
    <t>组合压力情景参数</t>
  </si>
  <si>
    <t>销售价格下降比例</t>
  </si>
  <si>
    <t>基准售价×(1－下降比例)</t>
  </si>
  <si>
    <t>租金下降比例</t>
  </si>
  <si>
    <t>基准各年租金×(1－下降比例)</t>
  </si>
  <si>
    <t>出租率下降百分点</t>
  </si>
  <si>
    <t>百分点</t>
  </si>
  <si>
    <t>10表示下降10个百分点，按10/100扣减，不是乘90%</t>
  </si>
  <si>
    <t>非土地建设成本增加比例</t>
  </si>
  <si>
    <t>作用于建安、配套、前期、管理及对应预备费；土地不变</t>
  </si>
  <si>
    <t>是否要求压力情景也通过</t>
  </si>
  <si>
    <t>0否/1是</t>
  </si>
  <si>
    <t>默认仅观察；开启后两种情景都必须通过</t>
  </si>
  <si>
    <t>年度计划：建设及销售比例均以项目总量为基数；年度索引为第0年至第30年</t>
  </si>
  <si>
    <t>年度非土地建设投资比例</t>
  </si>
  <si>
    <t>合计见看板</t>
  </si>
  <si>
    <t>年度销售比例</t>
  </si>
  <si>
    <t>提示：调整建设/销售时点时，请同步调整黄色年度计划；出租率由出租模块的首3年及稳定期参数自动形成。</t>
  </si>
  <si>
    <t>项目年度 / 日历年份</t>
  </si>
  <si>
    <t>地上建筑面积</t>
  </si>
  <si>
    <t>地上可经营面积</t>
  </si>
  <si>
    <t>总可售面积</t>
  </si>
  <si>
    <t>总持有出租面积</t>
  </si>
  <si>
    <t>基准情景 · 年度开发与租售计划</t>
  </si>
  <si>
    <t>建设分配比例</t>
  </si>
  <si>
    <t>销售比例</t>
  </si>
  <si>
    <t>累计销售去化率</t>
  </si>
  <si>
    <t>当年出售面积</t>
  </si>
  <si>
    <t>期末未售面积</t>
  </si>
  <si>
    <t>出租第几个年度</t>
  </si>
  <si>
    <t>实际出租率</t>
  </si>
  <si>
    <t>已出租面积</t>
  </si>
  <si>
    <t>新增出租面积</t>
  </si>
  <si>
    <t>累计销售完成标记</t>
  </si>
  <si>
    <t>0/1</t>
  </si>
  <si>
    <t>组合压力情景 · 年度开发与租售计划（共用面积及销售比例）</t>
  </si>
  <si>
    <t>基准情景</t>
  </si>
  <si>
    <t>土地取得费用</t>
  </si>
  <si>
    <t>地上建安费用</t>
  </si>
  <si>
    <t>地下建安费用</t>
  </si>
  <si>
    <t>配套工程费用</t>
  </si>
  <si>
    <t>前期费用</t>
  </si>
  <si>
    <t>非土地建设费用小计</t>
  </si>
  <si>
    <t>预备费</t>
  </si>
  <si>
    <t>非土地建设费用含预备费</t>
  </si>
  <si>
    <t>建设期融资费用（资本金支付）</t>
  </si>
  <si>
    <t>开发总成本含融资费用</t>
  </si>
  <si>
    <t>项目总投资含建设期融资费用</t>
  </si>
  <si>
    <t>销售成本基数（项目口径）</t>
  </si>
  <si>
    <t>持有折旧基数（项目口径）</t>
  </si>
  <si>
    <t>持有分摊土地成本</t>
  </si>
  <si>
    <t>销售成本基数（融资口径）</t>
  </si>
  <si>
    <t>持有折旧基数（融资口径）</t>
  </si>
  <si>
    <t>持有分摊总投资含周转资金</t>
  </si>
  <si>
    <t>年度现金支出（成本结转与折旧不在此再次支付）</t>
  </si>
  <si>
    <t>土地款</t>
  </si>
  <si>
    <t>非土地建设现金支出</t>
  </si>
  <si>
    <t>年度建设支出合计</t>
  </si>
  <si>
    <t>运营周转资金投入</t>
  </si>
  <si>
    <t>运营周转资金收回</t>
  </si>
  <si>
    <t>项目口径年度投资支出</t>
  </si>
  <si>
    <t>建设期利息现金支付</t>
  </si>
  <si>
    <t>含融资费用年度投资支出</t>
  </si>
  <si>
    <t>组合压力情景</t>
  </si>
  <si>
    <t>基准情景 · 单笔贷款</t>
  </si>
  <si>
    <t>首次提款年</t>
  </si>
  <si>
    <t>贷款到期年</t>
  </si>
  <si>
    <t>等额本金还款年度数</t>
  </si>
  <si>
    <t>期初贷款本金</t>
  </si>
  <si>
    <t>当年贷款提款</t>
  </si>
  <si>
    <t>提款年度标记</t>
  </si>
  <si>
    <t>当年还本</t>
  </si>
  <si>
    <t>当年利息</t>
  </si>
  <si>
    <t>期末贷款本金</t>
  </si>
  <si>
    <t>其中：建设期利息</t>
  </si>
  <si>
    <t>其中：建成后费用化利息</t>
  </si>
  <si>
    <t>当年本息合计</t>
  </si>
  <si>
    <t>到期未还本金（到期年标记）</t>
  </si>
  <si>
    <t>组合压力情景 · 贷款额度不增加</t>
  </si>
  <si>
    <t>基准情景 · 销售与持有分别核算</t>
  </si>
  <si>
    <t>当年销售面积</t>
  </si>
  <si>
    <t>销售价格</t>
  </si>
  <si>
    <t>销售回款</t>
  </si>
  <si>
    <t>月租金</t>
  </si>
  <si>
    <t>新增面积一次免租损失</t>
  </si>
  <si>
    <t>实收租金</t>
  </si>
  <si>
    <t>其他经营收入</t>
  </si>
  <si>
    <t>持有经营收入合计</t>
  </si>
  <si>
    <t>营业收入合计</t>
  </si>
  <si>
    <t>期末持有物业处置价</t>
  </si>
  <si>
    <t>处置交易费用含简税</t>
  </si>
  <si>
    <t>期末处置净收入（所得税前）</t>
  </si>
  <si>
    <t>组合压力情景 · 同时降低售价、租金和出租率</t>
  </si>
  <si>
    <t>基准情景 · 现金成本与非现金成本分开</t>
  </si>
  <si>
    <t>销售费用现金支出</t>
  </si>
  <si>
    <t>销售相关税费现金支出</t>
  </si>
  <si>
    <t>持有固定运营成本</t>
  </si>
  <si>
    <t>持有变动运营成本</t>
  </si>
  <si>
    <t>维护更新支出（当期费用化）</t>
  </si>
  <si>
    <t>运营相关税费</t>
  </si>
  <si>
    <t>现金成本及经营税费合计</t>
  </si>
  <si>
    <t>销售成本结转（项目口径）</t>
  </si>
  <si>
    <t>销售成本结转（融资口径）</t>
  </si>
  <si>
    <t>持有建筑折旧（项目口径）</t>
  </si>
  <si>
    <t>持有建筑折旧（融资口径）</t>
  </si>
  <si>
    <t>持有处置前账面净值（项目）</t>
  </si>
  <si>
    <t>持有处置前账面净值（融资）</t>
  </si>
  <si>
    <t>期末未售开发存货（融资）</t>
  </si>
  <si>
    <t>期末处置损益（项目口径）</t>
  </si>
  <si>
    <t>期末处置损益（融资口径）</t>
  </si>
  <si>
    <t>组合压力情景 · 建设成本上升并重算结转及折旧</t>
  </si>
  <si>
    <t>基准情景 · 利润、现金流与资金约束</t>
  </si>
  <si>
    <t>营业收入（销售＋持有）</t>
  </si>
  <si>
    <t>现金成本及经营税费</t>
  </si>
  <si>
    <t>无融资经营利润EBIT</t>
  </si>
  <si>
    <t>融资口径经营利润EBIT</t>
  </si>
  <si>
    <t>建成后利息费用</t>
  </si>
  <si>
    <t>融资口径处置前税前利润</t>
  </si>
  <si>
    <t>项目口径所得税含处置损益</t>
  </si>
  <si>
    <t>融资口径所得税含处置损益</t>
  </si>
  <si>
    <t>融资口径净利润含处置损益</t>
  </si>
  <si>
    <t>可用于偿债现金CFADS（不含处置）</t>
  </si>
  <si>
    <t>项目经营现金流（不含处置）</t>
  </si>
  <si>
    <t>土地现金支出</t>
  </si>
  <si>
    <t>周转资金投入</t>
  </si>
  <si>
    <t>周转资金收回</t>
  </si>
  <si>
    <t>持有处置净现金（所得税前）</t>
  </si>
  <si>
    <t>项目投资税后现金流</t>
  </si>
  <si>
    <t>贷款提款（非营业收入）</t>
  </si>
  <si>
    <t>全部现金利息支付</t>
  </si>
  <si>
    <t>本金偿还</t>
  </si>
  <si>
    <t>所得税口径调整（项目税－融资税）</t>
  </si>
  <si>
    <t>资本金投入前资金净流量</t>
  </si>
  <si>
    <t>期末后续支出及偿债留存需求</t>
  </si>
  <si>
    <t>理论期初资金余额</t>
  </si>
  <si>
    <t>完成计划当年所需资本金</t>
  </si>
  <si>
    <t>完整出资可分配现金</t>
  </si>
  <si>
    <t>理论期末资金余额</t>
  </si>
  <si>
    <t>累计所需资本金</t>
  </si>
  <si>
    <t>资本金现金流（完整出资理论）</t>
  </si>
  <si>
    <t>额度内期初现金余额</t>
  </si>
  <si>
    <t>期初未落实资金缺口</t>
  </si>
  <si>
    <t>额度内当年资金需要</t>
  </si>
  <si>
    <t>额度内当年实际可投资本金</t>
  </si>
  <si>
    <t>额度约束下可分配现金</t>
  </si>
  <si>
    <t>额度内期末可用现金余额</t>
  </si>
  <si>
    <t>期末未落实资金缺口</t>
  </si>
  <si>
    <t>至当年最大未落实缺口</t>
  </si>
  <si>
    <t>累计额度内可投资本金</t>
  </si>
  <si>
    <t>额度内资本金现金流</t>
  </si>
  <si>
    <t>累计项目现金流</t>
  </si>
  <si>
    <t>当年项目折现现金流</t>
  </si>
  <si>
    <t>累计项目折现现金流</t>
  </si>
  <si>
    <t>当年运营偿债覆盖倍数</t>
  </si>
  <si>
    <t>最低DSCR筛选值（非偿债年忽略）</t>
  </si>
  <si>
    <t>静态回收首次跨零标记</t>
  </si>
  <si>
    <t>标记</t>
  </si>
  <si>
    <t>动态回收首次跨零标记</t>
  </si>
  <si>
    <t>项目现金流符号</t>
  </si>
  <si>
    <t>项目最近非零符号</t>
  </si>
  <si>
    <t>项目现金流变号标记</t>
  </si>
  <si>
    <t>理论资金平衡差额</t>
  </si>
  <si>
    <t>额度内资金平衡差额</t>
  </si>
  <si>
    <t>分配后未来追加资本金校验</t>
  </si>
  <si>
    <t>资本金现金流符号</t>
  </si>
  <si>
    <t>资本金最近非零符号</t>
  </si>
  <si>
    <t>资本金现金流变号标记</t>
  </si>
  <si>
    <t>销售净回款贡献（所得税前）</t>
  </si>
  <si>
    <t>持有净经营现金贡献（所得税前）</t>
  </si>
  <si>
    <t>组合压力情景 · 全链条重算</t>
  </si>
  <si>
    <t>指标 / 观察项</t>
  </si>
  <si>
    <t>口径 / 提示</t>
  </si>
  <si>
    <t>项目税后IRR</t>
  </si>
  <si>
    <t>不含融资，所得税按无融资口径；IRR只取第0年至第N年</t>
  </si>
  <si>
    <t>资本金IRR</t>
  </si>
  <si>
    <t>完整出资理论：实际所需股东投入与留存后分配现金</t>
  </si>
  <si>
    <t>项目NPV</t>
  </si>
  <si>
    <t>NPV(第1年至第N年)＋第0年；按项目折现率</t>
  </si>
  <si>
    <t>资本金NPV</t>
  </si>
  <si>
    <t>按资本金折现率，完整出资理论</t>
  </si>
  <si>
    <t>项目静态回收期</t>
  </si>
  <si>
    <t>含建设期；跨年线性插值</t>
  </si>
  <si>
    <t>项目动态回收期</t>
  </si>
  <si>
    <t>使用折现项目现金流；跨年线性插值</t>
  </si>
  <si>
    <t>运营期最低偿债覆盖倍数</t>
  </si>
  <si>
    <t>CFADS/本息；无贷款为不适用；排除处置、周转回收及融资流入</t>
  </si>
  <si>
    <t>所需累计资本金</t>
  </si>
  <si>
    <t>按完整计划及留存规则计算所需投入</t>
  </si>
  <si>
    <t>未落实资金缺口最大值</t>
  </si>
  <si>
    <t>额度内资金平衡的历史最大未落实缺口</t>
  </si>
  <si>
    <t>贷款到期未偿本金</t>
  </si>
  <si>
    <t>只取到期年；期限未覆盖时参数校验失败</t>
  </si>
  <si>
    <t>项目总投资</t>
  </si>
  <si>
    <t>土地＋非土地建设＋建设期利息＋周转资金</t>
  </si>
  <si>
    <t>压力情景保持额度不变</t>
  </si>
  <si>
    <t>可投入资本金额度</t>
  </si>
  <si>
    <t>唯一额度输入，无额外资本金上限</t>
  </si>
  <si>
    <t>测算期累计销售去化率</t>
  </si>
  <si>
    <t>年度销售占总可售面积的比例累计</t>
  </si>
  <si>
    <t>完成销售年份</t>
  </si>
  <si>
    <t>项目年</t>
  </si>
  <si>
    <t>首次达到100%；未完成销售不自动产生处置回款</t>
  </si>
  <si>
    <t>稳定期实际出租率</t>
  </si>
  <si>
    <t>取第4个出租年度；未覆盖显示不适用</t>
  </si>
  <si>
    <t>持有经营保本出租率</t>
  </si>
  <si>
    <t>持有稳定期净经营收益率</t>
  </si>
  <si>
    <t>第4个出租年度NOI/持有分摊总投资，含维护；不等于IRR</t>
  </si>
  <si>
    <t>期末处置净收入占现金流入</t>
  </si>
  <si>
    <t>所得税前处置净收入/销售＋租金＋其他＋处置净收入＋周转回收</t>
  </si>
  <si>
    <t>项目IRR变号提示</t>
  </si>
  <si>
    <t>忽略中间零现金流；多次变号需谨慎理解IRR</t>
  </si>
  <si>
    <t>资本金IRR变号提示</t>
  </si>
  <si>
    <t>同样检查完整出资资本金现金流</t>
  </si>
  <si>
    <t>资本金收益结果标识</t>
  </si>
  <si>
    <t>缺口大于0时最终决策仍未通过</t>
  </si>
  <si>
    <t>稳定观察年份</t>
  </si>
  <si>
    <t>出租开始年＋3，第4出租年度；仍有少量新增免租</t>
  </si>
  <si>
    <t>逐项判断（金额容差0.01万元；回收期未回收即未通过；阈值均为模拟值）</t>
  </si>
  <si>
    <t>指标 / 安全条件</t>
  </si>
  <si>
    <t>基准测算值</t>
  </si>
  <si>
    <t>标准</t>
  </si>
  <si>
    <t>基准状态</t>
  </si>
  <si>
    <t>压力测算值</t>
  </si>
  <si>
    <t>压力状态</t>
  </si>
  <si>
    <t>静态回收期</t>
  </si>
  <si>
    <t>动态回收期</t>
  </si>
  <si>
    <t>情景总体状态</t>
  </si>
  <si>
    <t>基准不通过原因</t>
  </si>
  <si>
    <t>压力不通过原因</t>
  </si>
  <si>
    <t>可经营面积（平方米）</t>
  </si>
  <si>
    <t>测算期限（年）</t>
  </si>
  <si>
    <t>销售 / 出租比例</t>
  </si>
  <si>
    <t>地上面积（平方米）</t>
  </si>
  <si>
    <t>持有面积（平方米）</t>
  </si>
  <si>
    <t>项目总投资（万元）</t>
  </si>
  <si>
    <t>贷款（万元）</t>
  </si>
  <si>
    <t>所需资本金（万元）</t>
  </si>
  <si>
    <t>资本金额度（万元）</t>
  </si>
  <si>
    <t>最大未落实缺口（万元）</t>
  </si>
  <si>
    <t>压力情景是否须通过</t>
  </si>
  <si>
    <t>基准值</t>
  </si>
  <si>
    <t>通过标准</t>
  </si>
  <si>
    <t>状态</t>
  </si>
  <si>
    <t>压力值</t>
  </si>
  <si>
    <t>参数与计算校验（两种情景均核对；全部通过才可作出投资判断）</t>
  </si>
  <si>
    <t>校验项目</t>
  </si>
  <si>
    <t>说明 / 校验口径</t>
  </si>
  <si>
    <t>结果</t>
  </si>
  <si>
    <t>必填输入完整</t>
  </si>
  <si>
    <t>数值必填，年度计划不得留空</t>
  </si>
  <si>
    <t>测算期限与建设年限</t>
  </si>
  <si>
    <t>整数，1≤建设年限&lt;期限≤30</t>
  </si>
  <si>
    <t>面积与租售比例</t>
  </si>
  <si>
    <t>面积&gt;0，经营比例及销售出租比例有效</t>
  </si>
  <si>
    <t>面积分解平衡</t>
  </si>
  <si>
    <t>可售＋持有＝可经营</t>
  </si>
  <si>
    <t>建设计划合计</t>
  </si>
  <si>
    <t>非土地建设比例累计100%，非负</t>
  </si>
  <si>
    <t>建设计划时点</t>
  </si>
  <si>
    <t>第0年及建设期外不得安排建设</t>
  </si>
  <si>
    <t>销售计划合计</t>
  </si>
  <si>
    <t>累计不超过100%，允许未售存货</t>
  </si>
  <si>
    <t>销售计划时点</t>
  </si>
  <si>
    <t>早于销售开始或超出期限不得销售</t>
  </si>
  <si>
    <t>开发时点</t>
  </si>
  <si>
    <t>销售出租都在建成后且在期内开始</t>
  </si>
  <si>
    <t>出租率与爬坡</t>
  </si>
  <si>
    <t>0≤首年≤次年≤第三年≤稳定率≤1</t>
  </si>
  <si>
    <t>免租与收缴</t>
  </si>
  <si>
    <t>0—12月，收缴0—100%</t>
  </si>
  <si>
    <t>价格成本及额度非负</t>
  </si>
  <si>
    <t>全部金额/成本/贷款/额度非负</t>
  </si>
  <si>
    <t>费用税率</t>
  </si>
  <si>
    <t>所有费用、税率、残值及预备费在0—1</t>
  </si>
  <si>
    <t>增长率折现率及利率</t>
  </si>
  <si>
    <t>增长&gt;-100%；折现率非负，贷款利率0—100%</t>
  </si>
  <si>
    <t>折旧年限</t>
  </si>
  <si>
    <t>折旧年限为1—100整数</t>
  </si>
  <si>
    <t>贷款金额与建设需求</t>
  </si>
  <si>
    <t>贷款不能超过基准非土地建设成本</t>
  </si>
  <si>
    <t>贷款期限及偿还时点</t>
  </si>
  <si>
    <t>建设后开始还本，期限从首次提款年计</t>
  </si>
  <si>
    <t>期限覆盖贷款到期</t>
  </si>
  <si>
    <t>N≥首次提款年＋期限－1</t>
  </si>
  <si>
    <t>贷款提款总量</t>
  </si>
  <si>
    <t>两情景均按计划提款，不自动增贷</t>
  </si>
  <si>
    <t>贷款余额与还本平衡</t>
  </si>
  <si>
    <t>提款－还本＝期末本金，余额非负</t>
  </si>
  <si>
    <t>理论资金平衡</t>
  </si>
  <si>
    <t>期初＋净流＋出资－分配＝期末</t>
  </si>
  <si>
    <t>额度内资金平衡</t>
  </si>
  <si>
    <t>缺口作为待落实支出，不当成现金</t>
  </si>
  <si>
    <t>资本金不突破额度</t>
  </si>
  <si>
    <t>累计实际可投不超过输入额度</t>
  </si>
  <si>
    <t>留存后不立即补资</t>
  </si>
  <si>
    <t>分配后不再出现计划内追加资本金</t>
  </si>
  <si>
    <t>压力参数范围</t>
  </si>
  <si>
    <t>下降比例0—100%，出租率按百分点</t>
  </si>
  <si>
    <t>开关参数</t>
  </si>
  <si>
    <t>两个开关均为0或1</t>
  </si>
  <si>
    <t>总投资现金核对</t>
  </si>
  <si>
    <t>支付投资合计＝总投资（不扣周转回收）</t>
  </si>
  <si>
    <t>第N年回收与处置时点</t>
  </si>
  <si>
    <t>周转仅期末回收，处置仅持有物业</t>
  </si>
  <si>
    <t>判断标准有效</t>
  </si>
  <si>
    <t>IRR阈值非负、回收期上限及DSCR&gt;0</t>
  </si>
  <si>
    <t>项目有投资且持有分摊合理</t>
  </si>
  <si>
    <t>总投资&gt;0；销售＋持有分摊开发成本一致</t>
  </si>
  <si>
    <t>基准情景图表 · 修改输入及期限后自动更新</t>
  </si>
  <si>
    <t>项目年度</t>
  </si>
  <si>
    <t>销售收入</t>
  </si>
  <si>
    <t>其他收入</t>
  </si>
  <si>
    <t>可用于偿债现金</t>
  </si>
  <si>
    <t>应还本息</t>
  </si>
  <si>
    <t>累计折现现金流</t>
  </si>
  <si>
    <t>模型用途</t>
  </si>
  <si>
    <t>拿地前的租售结合产业园学习测算。所有默认数据及投资阈值均为模拟值。年度模型覆盖第0年、第1—N年，最多30年；后续年末现金流，建设投资及运营作年度简化。</t>
  </si>
  <si>
    <t>使用步骤</t>
  </si>
  <si>
    <t>1 在“核心参数输入”修改黄色单元格；2 同步调整建设和销售年度计划；3 在Excel中自动重算；4 查看“决策看板”的校验、指标及原因；5 在计算表核对各年变化。</t>
  </si>
  <si>
    <t>工作表结构</t>
  </si>
  <si>
    <t>使用说明 → 核心参数输入 → 建筑面积与开发计划 → 投资与资金安排 → 销售与出租收入 → 运营成本与税费 → 融资与还本付息 → 利润与现金流 → 指标与情景测算 → 决策看板。</t>
  </si>
  <si>
    <t>颜色与编辑</t>
  </si>
  <si>
    <t>浅黄色底蓝色文字＝手动输入；中性色＝公式及结果；绿色＝通过，红色＝未通过或待判断，灰色＝不适用。所有公式可查看编辑，无保护、宏和外部链接。</t>
  </si>
  <si>
    <t>金额万元；面积平方米；地价、建安及售价元/平方米；租金元/平方米/月。面积×单价÷10000；年租金＝面积×月租金×12÷10000。百分比输入10%=0.10；出租率压力10个百分点输入10。</t>
  </si>
  <si>
    <t>收益与资金条件</t>
  </si>
  <si>
    <t>IRR越高越好，NPV≥0，回收期越短越好，DSCR越高越好。收益达标不代表资金充足：资本金总额度、资金缺口和到期本金也必须满足。NPV第0年不折现。</t>
  </si>
  <si>
    <t>两类现金流</t>
  </si>
  <si>
    <t>项目投资现金流排除贷款、股东出资及全部本息、建设期融资费用，所得税按无融资利润；资本金现金流＝完整出资下留存后股东分配－按需股东投入。项目总投资另包含建设期融资费用。</t>
  </si>
  <si>
    <t>状态说明</t>
  </si>
  <si>
    <t>“无法计算”＝IRR无解或必要条件不足，不用0冒充；“测算期内未回收”＝对应累计现金流在期内没有由负转非负，视为未达标；“不适用”＝无贷款或未覆盖辅助稳定观察年等。必要收益指标无解时待判断。</t>
  </si>
  <si>
    <t>建设与分摊</t>
  </si>
  <si>
    <t>土地第0年支付；其余非土地支出第1—K年按输入比例分配。建安、配套、前期、管理各范围不重叠；预备费以非土地上述成本为基数。共同开发成本按销售/持有经营面积比例分摊，非经营面积及地下成本一起分摊。</t>
  </si>
  <si>
    <t>收入与免租</t>
  </si>
  <si>
    <t>销售部分出售前也不出租，出售后不再贡献租金；持有部分出租。年度销售占总可售面积比例，当年收款。出租年内面积视为全年占用，只对本年增加的出租面积扣一次免租，不模拟租户更替，故爬坡率不得下降。租金按收缴后现金口径确认收入，其他收入按实收租金比例。</t>
  </si>
  <si>
    <t>税务与成本简化</t>
  </si>
  <si>
    <t>收入均为简化含税实收口径，销售及运营综合税费也按该口径；不建立增值税抵扣、土地增值税及复杂税制。所得税＝max(年度利润,0)×税率，不结转亏损。固定成本由持有部分承担，自K+1年即支付，空置不豁免；变动成本仅按持有收入；维护更新当年费用化并税前扣除，不重复资本化或折旧。</t>
  </si>
  <si>
    <t>非现金成本</t>
  </si>
  <si>
    <t>销售成本按年度销售比例结转，未售保留存货；建设期间在建及存货按累计已支付成本显示。持有建筑非土地成本直线折旧，土地不折旧。融资利润将建设利息分摊至销售成本及持有折旧；项目口径剔除融资利息。建设成本只在支付年扣现金，结转与折旧不再次扣现金。</t>
  </si>
  <si>
    <t>贷款规则</t>
  </si>
  <si>
    <t>一笔贷款按建设比例提款；首次提款年算贷款期限，到期年＝首次提款年＋期限－1。建设完成后到期前等额本金；利息＝(期初本金＋本年提款/2－本年还本/2)×利率。建设期利息资本金承担且不滚入本金。销售回款可还计划内本息，不额外提前还款。</t>
  </si>
  <si>
    <t>留存与分配</t>
  </si>
  <si>
    <t>从期末向前计算留存需求R(t)=max(0,R(t+1)－下一年资本金前净流量)。因此先保留已知后续建设和计划偿债所需现金，剩余才分配；资本金只在现金不足当年补入，不为凑留存而提前投入。该确定性规则不单列额外安全现金。</t>
  </si>
  <si>
    <t>额度与缺口</t>
  </si>
  <si>
    <t>先按完整计划计算理论所需资本金；再按唯一额度投入。不足部分作为未落实计划支出缺口滚动，后续净回款先覆盖缺口；发生过缺口的额度内路径停止分配。缺口从不作为现金/贷款/真实出资。该路径仅定位无法执行的计划，不代表项目能在无资金情况下施工运营；理论资本金收益标明资金尚未落实，最大历史缺口仍导致未通过。</t>
  </si>
  <si>
    <t>期末处理</t>
  </si>
  <si>
    <t>默认处置关闭，持有净值及未售存货均不自动转现金。开启后第N年仅收持有物业输入处置价，扣综合交易费用，净额减处置前账面净值作为所得税损益，与本年利润合并，不跨年结转。初始运营周转资金第N年全额收回；不回收其他未单列项目。</t>
  </si>
  <si>
    <t>压力情景</t>
  </si>
  <si>
    <t>各计算表第二个可见区同时降低销售价、租金、出租率并增加非土地建设成本及对应预备费；土地、贷款额度不变。出租率按百分点扣减并最低为0。默认只供观察，开启开关后基准及压力均须通过。</t>
  </si>
  <si>
    <t>辅助指标</t>
  </si>
  <si>
    <t>稳定观察取第4出租年度，包含当年少量新增免租；保本出租率另按稳定全年无新增免租收入测算，只覆盖运营支出与经营税费，超过100%会提示。NOI收益率按含维护的稳定年NOI/持有分摊投资（含周转及分摊融资费用），不是IRR。处置依赖比例采用所得税前净处置收入。</t>
  </si>
  <si>
    <t>期限与IRR</t>
  </si>
  <si>
    <t>调整N时现金流有效范围、IRR/NPV/回收期及处置/周转回收时点一起变化；预留年度不纳入IRR。N不得早于贷款到期。多次现金流变号会提示IRR可能有歧义；NPV及资金约束仍须审视。</t>
  </si>
  <si>
    <t>生成与重算</t>
  </si>
  <si>
    <t>代码仅初始化默认示例；重新运行不读取或保留旧Excel中手改参数，同名文件自动加时间标识。Excel设置打开自动重算。可在Windows安装Excel后运行--recalculate；未实际重算的新文件有完整公式但缓存初始值不代表结果。验证详情见同目录“验证说明.md”。</t>
  </si>
  <si>
    <t>模拟产业园 · 租售结合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</si>
</sst>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;[Red]\(#,##0.00\);&quot;—&quot;"/>
  </numFmts>
  <fonts count="8">
    <font>
      <sz val="11"/>
      <color theme="1"/>
      <name val="宋体"/>
      <family val="2"/>
      <scheme val="minor"/>
    </font>
    <font>
      <sz val="10"/>
      <color rgb="FF243746"/>
      <name val="Microsoft YaHei"/>
      <family val="2"/>
    </font>
    <font>
      <b/>
      <sz val="16"/>
      <color rgb="FF243746"/>
      <name val="Microsoft YaHei"/>
      <family val="2"/>
    </font>
    <font>
      <b/>
      <sz val="10"/>
      <color rgb="FF243746"/>
      <name val="Microsoft YaHei"/>
      <family val="2"/>
    </font>
    <font>
      <b/>
      <sz val="10"/>
      <color rgb="FFFFFFFF"/>
      <name val="Microsoft YaHei"/>
      <family val="2"/>
    </font>
    <font>
      <sz val="10"/>
      <color rgb="FF1256A0"/>
      <name val="Microsoft YaHei"/>
      <family val="2"/>
    </font>
    <font>
      <i/>
      <sz val="10"/>
      <color rgb="FF243746"/>
      <name val="Microsoft YaHei"/>
      <family val="2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AF0F5"/>
        <bgColor indexed="64"/>
      </patternFill>
    </fill>
    <fill>
      <patternFill patternType="solid">
        <fgColor rgb="FF203E56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76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1" fillId="0" borderId="0" xfId="0" applyFont="1" applyAlignment="1">
      <alignment vertical="center" wrapText="1"/>
    </xf>
    <xf numFmtId="0" fontId="4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vertical="center"/>
    </xf>
    <xf numFmtId="1" fontId="5" fillId="4" borderId="0" xfId="0" applyNumberFormat="1" applyFont="1" applyFill="1" applyAlignment="1">
      <alignment vertical="center"/>
    </xf>
    <xf numFmtId="4" fontId="5" fillId="4" borderId="0" xfId="0" applyNumberFormat="1" applyFont="1" applyFill="1" applyAlignment="1">
      <alignment vertical="center"/>
    </xf>
    <xf numFmtId="10" fontId="5" fillId="4" borderId="0" xfId="0" applyNumberFormat="1" applyFont="1" applyFill="1" applyAlignment="1">
      <alignment vertical="center"/>
    </xf>
    <xf numFmtId="10" fontId="6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" fontId="1" fillId="0" borderId="0" xfId="0" applyNumberFormat="1" applyFont="1" applyAlignment="1">
      <alignment vertical="center"/>
    </xf>
    <xf numFmtId="176" fontId="3" fillId="2" borderId="0" xfId="0" applyNumberFormat="1" applyFont="1" applyFill="1" applyAlignment="1">
      <alignment vertical="center"/>
    </xf>
    <xf numFmtId="0" fontId="1" fillId="0" borderId="0" xfId="0" applyFont="1" applyAlignment="1">
      <alignment vertical="center" wrapText="1"/>
    </xf>
    <xf numFmtId="0" fontId="3" fillId="2" borderId="0" xfId="0" applyFont="1" applyFill="1" applyAlignment="1">
      <alignment vertical="center"/>
    </xf>
    <xf numFmtId="0" fontId="4" fillId="3" borderId="0" xfId="0" applyFont="1" applyFill="1" applyAlignment="1">
      <alignment horizontal="center" vertical="center"/>
    </xf>
    <xf numFmtId="176" fontId="3" fillId="2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常规" xfId="0" builtinId="0"/>
  </cellStyles>
  <dxfs count="28"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aseline="0">
                <a:latin typeface="Microsoft YaHei"/>
              </a:defRPr>
            </a:pPr>
            <a:r>
              <a:rPr lang="en-US" sz="1200" baseline="0">
                <a:latin typeface="Microsoft YaHei"/>
              </a:rPr>
              <a:t>年度销售与出租收入构成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销售回款</c:v>
          </c:tx>
          <c:spPr>
            <a:solidFill>
              <a:srgbClr val="203E56"/>
            </a:solidFill>
            <a:ln>
              <a:noFill/>
            </a:ln>
          </c:spPr>
          <c:invertIfNegative val="0"/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[0]!ChartSales</c:f>
              <c:numCache>
                <c:formatCode>#,##0.00;[Red]\(#,##0.00\);"—"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14478.75</c:v>
                </c:pt>
                <c:pt idx="5">
                  <c:v>19305</c:v>
                </c:pt>
                <c:pt idx="6">
                  <c:v>14478.75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83-4EDA-AB06-AFE05DB5CFF5}"/>
            </c:ext>
          </c:extLst>
        </c:ser>
        <c:ser>
          <c:idx val="1"/>
          <c:order val="1"/>
          <c:tx>
            <c:v>实收租金</c:v>
          </c:tx>
          <c:spPr>
            <a:solidFill>
              <a:srgbClr val="2B7C82"/>
            </a:solidFill>
            <a:ln>
              <a:noFill/>
            </a:ln>
          </c:spPr>
          <c:invertIfNegative val="0"/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[0]!ChartRent</c:f>
              <c:numCache>
                <c:formatCode>#,##0.00;[Red]\(#,##0.00\);"—"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696.55949999999984</c:v>
                </c:pt>
                <c:pt idx="5">
                  <c:v>1225.4803469999997</c:v>
                </c:pt>
                <c:pt idx="6">
                  <c:v>1554.8281902562494</c:v>
                </c:pt>
                <c:pt idx="7">
                  <c:v>1723.8260543202553</c:v>
                </c:pt>
                <c:pt idx="8">
                  <c:v>1774.3268739397781</c:v>
                </c:pt>
                <c:pt idx="9">
                  <c:v>1800.9417770488744</c:v>
                </c:pt>
                <c:pt idx="10">
                  <c:v>1827.9559037046074</c:v>
                </c:pt>
                <c:pt idx="11">
                  <c:v>1855.3752422601763</c:v>
                </c:pt>
                <c:pt idx="12">
                  <c:v>1883.2058708940785</c:v>
                </c:pt>
                <c:pt idx="13">
                  <c:v>1911.4539589574895</c:v>
                </c:pt>
                <c:pt idx="14">
                  <c:v>1940.1257683418517</c:v>
                </c:pt>
                <c:pt idx="15">
                  <c:v>1969.227654866979</c:v>
                </c:pt>
                <c:pt idx="16">
                  <c:v>1998.7660696899832</c:v>
                </c:pt>
                <c:pt idx="17">
                  <c:v>2028.7475607353331</c:v>
                </c:pt>
                <c:pt idx="18">
                  <c:v>2059.1787741463627</c:v>
                </c:pt>
                <c:pt idx="19">
                  <c:v>2090.0664557585574</c:v>
                </c:pt>
                <c:pt idx="20">
                  <c:v>2121.4174525949356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83-4EDA-AB06-AFE05DB5CFF5}"/>
            </c:ext>
          </c:extLst>
        </c:ser>
        <c:ser>
          <c:idx val="2"/>
          <c:order val="2"/>
          <c:tx>
            <c:v>其他经营收入</c:v>
          </c:tx>
          <c:spPr>
            <a:solidFill>
              <a:srgbClr val="CC8740"/>
            </a:solidFill>
            <a:ln>
              <a:noFill/>
            </a:ln>
          </c:spPr>
          <c:invertIfNegative val="0"/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[0]!ChartOther</c:f>
              <c:numCache>
                <c:formatCode>#,##0.00;[Red]\(#,##0.00\);"—"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34.827974999999995</c:v>
                </c:pt>
                <c:pt idx="5">
                  <c:v>61.274017349999987</c:v>
                </c:pt>
                <c:pt idx="6">
                  <c:v>77.741409512812481</c:v>
                </c:pt>
                <c:pt idx="7">
                  <c:v>86.191302716012771</c:v>
                </c:pt>
                <c:pt idx="8">
                  <c:v>88.716343696988915</c:v>
                </c:pt>
                <c:pt idx="9">
                  <c:v>90.047088852443721</c:v>
                </c:pt>
                <c:pt idx="10">
                  <c:v>91.397795185230379</c:v>
                </c:pt>
                <c:pt idx="11">
                  <c:v>92.768762113008819</c:v>
                </c:pt>
                <c:pt idx="12">
                  <c:v>94.160293544703933</c:v>
                </c:pt>
                <c:pt idx="13">
                  <c:v>95.572697947874474</c:v>
                </c:pt>
                <c:pt idx="14">
                  <c:v>97.006288417092591</c:v>
                </c:pt>
                <c:pt idx="15">
                  <c:v>98.461382743348963</c:v>
                </c:pt>
                <c:pt idx="16">
                  <c:v>99.938303484499158</c:v>
                </c:pt>
                <c:pt idx="17">
                  <c:v>101.43737803676666</c:v>
                </c:pt>
                <c:pt idx="18">
                  <c:v>102.95893870731814</c:v>
                </c:pt>
                <c:pt idx="19">
                  <c:v>104.50332278792787</c:v>
                </c:pt>
                <c:pt idx="20">
                  <c:v>106.07087262974679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83-4EDA-AB06-AFE05DB5CF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项目年度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>
          <c:spPr>
            <a:ln>
              <a:solidFill>
                <a:srgbClr val="DFE5E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万元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aseline="0">
              <a:latin typeface="Microsoft YaHei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aseline="0">
                <a:latin typeface="Microsoft YaHei"/>
              </a:defRPr>
            </a:pPr>
            <a:r>
              <a:rPr lang="en-US" sz="1200" baseline="0">
                <a:latin typeface="Microsoft YaHei"/>
              </a:rPr>
              <a:t>可用于偿债的现金与本息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可用于偿债现金</c:v>
          </c:tx>
          <c:spPr>
            <a:solidFill>
              <a:srgbClr val="2B7C82"/>
            </a:solidFill>
            <a:ln>
              <a:noFill/>
            </a:ln>
          </c:spPr>
          <c:invertIfNegative val="0"/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[0]!ChartCFADS</c:f>
              <c:numCache>
                <c:formatCode>#,##0.00;[Red]\(#,##0.00\);"—"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12887.337359625</c:v>
                </c:pt>
                <c:pt idx="5">
                  <c:v>17282.645809075249</c:v>
                </c:pt>
                <c:pt idx="6">
                  <c:v>13342.474366357974</c:v>
                </c:pt>
                <c:pt idx="7">
                  <c:v>985.85183276973987</c:v>
                </c:pt>
                <c:pt idx="8">
                  <c:v>1022.9657904621489</c:v>
                </c:pt>
                <c:pt idx="9">
                  <c:v>1039.3866290790809</c:v>
                </c:pt>
                <c:pt idx="10">
                  <c:v>1009.7766054828501</c:v>
                </c:pt>
                <c:pt idx="11">
                  <c:v>999.91491246842088</c:v>
                </c:pt>
                <c:pt idx="12">
                  <c:v>1012.7174554043415</c:v>
                </c:pt>
                <c:pt idx="13">
                  <c:v>1025.6861910567789</c:v>
                </c:pt>
                <c:pt idx="14">
                  <c:v>1038.8230954079302</c:v>
                </c:pt>
                <c:pt idx="15">
                  <c:v>1052.130163741555</c:v>
                </c:pt>
                <c:pt idx="16">
                  <c:v>1065.6094107257341</c:v>
                </c:pt>
                <c:pt idx="17">
                  <c:v>1079.2628704927372</c:v>
                </c:pt>
                <c:pt idx="18">
                  <c:v>1093.0925967158673</c:v>
                </c:pt>
                <c:pt idx="19">
                  <c:v>1107.1006626831595</c:v>
                </c:pt>
                <c:pt idx="20">
                  <c:v>1121.2891613677918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F9-47B6-8AFF-E39F1A1D82A5}"/>
            </c:ext>
          </c:extLst>
        </c:ser>
        <c:ser>
          <c:idx val="1"/>
          <c:order val="1"/>
          <c:tx>
            <c:v>应还本金及利息</c:v>
          </c:tx>
          <c:spPr>
            <a:solidFill>
              <a:srgbClr val="CC8740"/>
            </a:solidFill>
            <a:ln>
              <a:noFill/>
            </a:ln>
          </c:spPr>
          <c:invertIfNegative val="0"/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[0]!ChartDebt</c:f>
              <c:numCache>
                <c:formatCode>#,##0.00;[Red]\(#,##0.00\);"—"</c:formatCode>
                <c:ptCount val="21"/>
                <c:pt idx="0">
                  <c:v>0</c:v>
                </c:pt>
                <c:pt idx="1">
                  <c:v>189</c:v>
                </c:pt>
                <c:pt idx="2">
                  <c:v>630</c:v>
                </c:pt>
                <c:pt idx="3">
                  <c:v>1071</c:v>
                </c:pt>
                <c:pt idx="4">
                  <c:v>5455.7142857142853</c:v>
                </c:pt>
                <c:pt idx="5">
                  <c:v>5275.7142857142853</c:v>
                </c:pt>
                <c:pt idx="6">
                  <c:v>5095.7142857142853</c:v>
                </c:pt>
                <c:pt idx="7">
                  <c:v>4915.7142857142853</c:v>
                </c:pt>
                <c:pt idx="8">
                  <c:v>4735.7142857142853</c:v>
                </c:pt>
                <c:pt idx="9">
                  <c:v>4555.7142857142853</c:v>
                </c:pt>
                <c:pt idx="10">
                  <c:v>4375.7142857142835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F9-47B6-8AFF-E39F1A1D82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0001"/>
        <c:axId val="50020002"/>
      </c:barChart>
      <c:catAx>
        <c:axId val="500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项目年度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>
          <c:spPr>
            <a:ln>
              <a:solidFill>
                <a:srgbClr val="DFE5E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万元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20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aseline="0">
              <a:latin typeface="Microsoft YaHei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aseline="0">
                <a:latin typeface="Microsoft YaHei"/>
              </a:defRPr>
            </a:pPr>
            <a:r>
              <a:rPr lang="en-US" sz="1200" baseline="0">
                <a:latin typeface="Microsoft YaHei"/>
              </a:rPr>
              <a:t>累计项目现金流与累计折现现金流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累计项目现金流</c:v>
          </c:tx>
          <c:spPr>
            <a:ln>
              <a:solidFill>
                <a:srgbClr val="203E56"/>
              </a:solidFill>
            </a:ln>
          </c:spPr>
          <c:marker>
            <c:symbol val="none"/>
          </c:marker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[0]!ChartCum</c:f>
              <c:numCache>
                <c:formatCode>#,##0.00;[Red]\(#,##0.00\);"—"</c:formatCode>
                <c:ptCount val="21"/>
                <c:pt idx="0">
                  <c:v>-8000</c:v>
                </c:pt>
                <c:pt idx="1">
                  <c:v>-23876</c:v>
                </c:pt>
                <c:pt idx="2">
                  <c:v>-45044</c:v>
                </c:pt>
                <c:pt idx="3">
                  <c:v>-60920</c:v>
                </c:pt>
                <c:pt idx="4">
                  <c:v>-48909.858265374998</c:v>
                </c:pt>
                <c:pt idx="5">
                  <c:v>-31985.395581299748</c:v>
                </c:pt>
                <c:pt idx="6">
                  <c:v>-18930.116839941773</c:v>
                </c:pt>
                <c:pt idx="7">
                  <c:v>-18002.200465364469</c:v>
                </c:pt>
                <c:pt idx="8">
                  <c:v>-17046.448622517859</c:v>
                </c:pt>
                <c:pt idx="9">
                  <c:v>-16078.381150708548</c:v>
                </c:pt>
                <c:pt idx="10">
                  <c:v>-15097.837670225697</c:v>
                </c:pt>
                <c:pt idx="11">
                  <c:v>-14104.655882757277</c:v>
                </c:pt>
                <c:pt idx="12">
                  <c:v>-13098.671552352935</c:v>
                </c:pt>
                <c:pt idx="13">
                  <c:v>-12079.718486296155</c:v>
                </c:pt>
                <c:pt idx="14">
                  <c:v>-11047.628515888224</c:v>
                </c:pt>
                <c:pt idx="15">
                  <c:v>-10002.231477146668</c:v>
                </c:pt>
                <c:pt idx="16">
                  <c:v>-8943.3551914209347</c:v>
                </c:pt>
                <c:pt idx="17">
                  <c:v>-7870.825445928198</c:v>
                </c:pt>
                <c:pt idx="18">
                  <c:v>-6784.4659742123304</c:v>
                </c:pt>
                <c:pt idx="19">
                  <c:v>-5684.0984365291715</c:v>
                </c:pt>
                <c:pt idx="20">
                  <c:v>-4069.5424001613796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01-4064-95FB-A9E4D635F207}"/>
            </c:ext>
          </c:extLst>
        </c:ser>
        <c:ser>
          <c:idx val="1"/>
          <c:order val="1"/>
          <c:tx>
            <c:v>累计折现现金流</c:v>
          </c:tx>
          <c:spPr>
            <a:ln>
              <a:solidFill>
                <a:srgbClr val="CC8740"/>
              </a:solidFill>
            </a:ln>
          </c:spPr>
          <c:marker>
            <c:symbol val="none"/>
          </c:marker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[0]!ChartDiscounted</c:f>
              <c:numCache>
                <c:formatCode>#,##0.00;[Red]\(#,##0.00\);"—"</c:formatCode>
                <c:ptCount val="21"/>
                <c:pt idx="0">
                  <c:v>-8000</c:v>
                </c:pt>
                <c:pt idx="1">
                  <c:v>-22700</c:v>
                </c:pt>
                <c:pt idx="2">
                  <c:v>-40848.148148148146</c:v>
                </c:pt>
                <c:pt idx="3">
                  <c:v>-53451.028806584356</c:v>
                </c:pt>
                <c:pt idx="4">
                  <c:v>-44623.216095318407</c:v>
                </c:pt>
                <c:pt idx="5">
                  <c:v>-33104.711173712021</c:v>
                </c:pt>
                <c:pt idx="6">
                  <c:v>-24877.671040415538</c:v>
                </c:pt>
                <c:pt idx="7">
                  <c:v>-24336.240748243221</c:v>
                </c:pt>
                <c:pt idx="8">
                  <c:v>-23819.877766247773</c:v>
                </c:pt>
                <c:pt idx="9">
                  <c:v>-23335.603013361604</c:v>
                </c:pt>
                <c:pt idx="10">
                  <c:v>-22881.421658418058</c:v>
                </c:pt>
                <c:pt idx="11">
                  <c:v>-22455.463013566503</c:v>
                </c:pt>
                <c:pt idx="12">
                  <c:v>-22055.972794980666</c:v>
                </c:pt>
                <c:pt idx="13">
                  <c:v>-21681.305867253199</c:v>
                </c:pt>
                <c:pt idx="14">
                  <c:v>-21329.919441147642</c:v>
                </c:pt>
                <c:pt idx="15">
                  <c:v>-21000.36669628846</c:v>
                </c:pt>
                <c:pt idx="16">
                  <c:v>-20691.29080215871</c:v>
                </c:pt>
                <c:pt idx="17">
                  <c:v>-20401.419312450409</c:v>
                </c:pt>
                <c:pt idx="18">
                  <c:v>-20129.558909382442</c:v>
                </c:pt>
                <c:pt idx="19">
                  <c:v>-19874.590476071262</c:v>
                </c:pt>
                <c:pt idx="20">
                  <c:v>-19528.190372715155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01-4064-95FB-A9E4D635F2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30001"/>
        <c:axId val="50030002"/>
      </c:lineChart>
      <c:catAx>
        <c:axId val="500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项目年度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l"/>
        <c:majorGridlines>
          <c:spPr>
            <a:ln>
              <a:solidFill>
                <a:srgbClr val="DFE5E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万元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30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aseline="0">
              <a:latin typeface="Microsoft YaHei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66</xdr:row>
      <xdr:rowOff>0</xdr:rowOff>
    </xdr:from>
    <xdr:to>
      <xdr:col>5</xdr:col>
      <xdr:colOff>923925</xdr:colOff>
      <xdr:row>77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83</xdr:row>
      <xdr:rowOff>0</xdr:rowOff>
    </xdr:from>
    <xdr:to>
      <xdr:col>5</xdr:col>
      <xdr:colOff>923925</xdr:colOff>
      <xdr:row>94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100</xdr:row>
      <xdr:rowOff>0</xdr:rowOff>
    </xdr:from>
    <xdr:to>
      <xdr:col>5</xdr:col>
      <xdr:colOff>923925</xdr:colOff>
      <xdr:row>111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2929E"/>
    <pageSetUpPr fitToPage="1"/>
  </sheetPr>
  <dimension ref="A2:AH83"/>
  <sheetViews>
    <sheetView showGridLines="0" tabSelected="1" workbookViewId="0"/>
  </sheetViews>
  <sheetFormatPr defaultRowHeight="21" customHeight="1"/>
  <cols>
    <col min="1" max="1" width="28.75" customWidth="1"/>
    <col min="2" max="7" width="18.75" customWidth="1"/>
    <col min="8" max="34" width="15.75" style="1" customWidth="1"/>
  </cols>
  <sheetData>
    <row r="2" spans="1:7" ht="29.1" customHeight="1">
      <c r="A2" s="2" t="s">
        <v>0</v>
      </c>
    </row>
    <row r="5" spans="1:7" ht="24.95" customHeight="1">
      <c r="A5" s="3" t="s">
        <v>459</v>
      </c>
      <c r="B5" s="14" t="s">
        <v>460</v>
      </c>
      <c r="C5" s="14"/>
      <c r="D5" s="14"/>
      <c r="E5" s="14"/>
      <c r="F5" s="14"/>
      <c r="G5" s="14"/>
    </row>
    <row r="6" spans="1:7" ht="24.95" customHeight="1">
      <c r="B6" s="14"/>
      <c r="C6" s="14"/>
      <c r="D6" s="14"/>
      <c r="E6" s="14"/>
      <c r="F6" s="14"/>
      <c r="G6" s="14"/>
    </row>
    <row r="7" spans="1:7" ht="24.95" customHeight="1">
      <c r="B7" s="14"/>
      <c r="C7" s="14"/>
      <c r="D7" s="14"/>
      <c r="E7" s="14"/>
      <c r="F7" s="14"/>
      <c r="G7" s="14"/>
    </row>
    <row r="9" spans="1:7" ht="24.95" customHeight="1">
      <c r="A9" s="3" t="s">
        <v>461</v>
      </c>
      <c r="B9" s="14" t="s">
        <v>462</v>
      </c>
      <c r="C9" s="14"/>
      <c r="D9" s="14"/>
      <c r="E9" s="14"/>
      <c r="F9" s="14"/>
      <c r="G9" s="14"/>
    </row>
    <row r="10" spans="1:7" ht="24.95" customHeight="1">
      <c r="B10" s="14"/>
      <c r="C10" s="14"/>
      <c r="D10" s="14"/>
      <c r="E10" s="14"/>
      <c r="F10" s="14"/>
      <c r="G10" s="14"/>
    </row>
    <row r="11" spans="1:7" ht="24.95" customHeight="1">
      <c r="B11" s="14"/>
      <c r="C11" s="14"/>
      <c r="D11" s="14"/>
      <c r="E11" s="14"/>
      <c r="F11" s="14"/>
      <c r="G11" s="14"/>
    </row>
    <row r="13" spans="1:7" ht="24.95" customHeight="1">
      <c r="A13" s="3" t="s">
        <v>463</v>
      </c>
      <c r="B13" s="14" t="s">
        <v>464</v>
      </c>
      <c r="C13" s="14"/>
      <c r="D13" s="14"/>
      <c r="E13" s="14"/>
      <c r="F13" s="14"/>
      <c r="G13" s="14"/>
    </row>
    <row r="14" spans="1:7" ht="24.95" customHeight="1">
      <c r="B14" s="14"/>
      <c r="C14" s="14"/>
      <c r="D14" s="14"/>
      <c r="E14" s="14"/>
      <c r="F14" s="14"/>
      <c r="G14" s="14"/>
    </row>
    <row r="15" spans="1:7" ht="24.95" customHeight="1">
      <c r="B15" s="14"/>
      <c r="C15" s="14"/>
      <c r="D15" s="14"/>
      <c r="E15" s="14"/>
      <c r="F15" s="14"/>
      <c r="G15" s="14"/>
    </row>
    <row r="17" spans="1:7" ht="24.95" customHeight="1">
      <c r="A17" s="3" t="s">
        <v>465</v>
      </c>
      <c r="B17" s="14" t="s">
        <v>466</v>
      </c>
      <c r="C17" s="14"/>
      <c r="D17" s="14"/>
      <c r="E17" s="14"/>
      <c r="F17" s="14"/>
      <c r="G17" s="14"/>
    </row>
    <row r="18" spans="1:7" ht="24.95" customHeight="1">
      <c r="B18" s="14"/>
      <c r="C18" s="14"/>
      <c r="D18" s="14"/>
      <c r="E18" s="14"/>
      <c r="F18" s="14"/>
      <c r="G18" s="14"/>
    </row>
    <row r="19" spans="1:7" ht="24.95" customHeight="1">
      <c r="B19" s="14"/>
      <c r="C19" s="14"/>
      <c r="D19" s="14"/>
      <c r="E19" s="14"/>
      <c r="F19" s="14"/>
      <c r="G19" s="14"/>
    </row>
    <row r="21" spans="1:7" ht="24.95" customHeight="1">
      <c r="A21" s="3" t="s">
        <v>12</v>
      </c>
      <c r="B21" s="14" t="s">
        <v>467</v>
      </c>
      <c r="C21" s="14"/>
      <c r="D21" s="14"/>
      <c r="E21" s="14"/>
      <c r="F21" s="14"/>
      <c r="G21" s="14"/>
    </row>
    <row r="22" spans="1:7" ht="24.95" customHeight="1">
      <c r="B22" s="14"/>
      <c r="C22" s="14"/>
      <c r="D22" s="14"/>
      <c r="E22" s="14"/>
      <c r="F22" s="14"/>
      <c r="G22" s="14"/>
    </row>
    <row r="23" spans="1:7" ht="24.95" customHeight="1">
      <c r="B23" s="14"/>
      <c r="C23" s="14"/>
      <c r="D23" s="14"/>
      <c r="E23" s="14"/>
      <c r="F23" s="14"/>
      <c r="G23" s="14"/>
    </row>
    <row r="25" spans="1:7" ht="24.95" customHeight="1">
      <c r="A25" s="3" t="s">
        <v>468</v>
      </c>
      <c r="B25" s="14" t="s">
        <v>469</v>
      </c>
      <c r="C25" s="14"/>
      <c r="D25" s="14"/>
      <c r="E25" s="14"/>
      <c r="F25" s="14"/>
      <c r="G25" s="14"/>
    </row>
    <row r="26" spans="1:7" ht="24.95" customHeight="1">
      <c r="B26" s="14"/>
      <c r="C26" s="14"/>
      <c r="D26" s="14"/>
      <c r="E26" s="14"/>
      <c r="F26" s="14"/>
      <c r="G26" s="14"/>
    </row>
    <row r="27" spans="1:7" ht="24.95" customHeight="1">
      <c r="B27" s="14"/>
      <c r="C27" s="14"/>
      <c r="D27" s="14"/>
      <c r="E27" s="14"/>
      <c r="F27" s="14"/>
      <c r="G27" s="14"/>
    </row>
    <row r="29" spans="1:7" ht="24.95" customHeight="1">
      <c r="A29" s="3" t="s">
        <v>470</v>
      </c>
      <c r="B29" s="14" t="s">
        <v>471</v>
      </c>
      <c r="C29" s="14"/>
      <c r="D29" s="14"/>
      <c r="E29" s="14"/>
      <c r="F29" s="14"/>
      <c r="G29" s="14"/>
    </row>
    <row r="30" spans="1:7" ht="24.95" customHeight="1">
      <c r="B30" s="14"/>
      <c r="C30" s="14"/>
      <c r="D30" s="14"/>
      <c r="E30" s="14"/>
      <c r="F30" s="14"/>
      <c r="G30" s="14"/>
    </row>
    <row r="31" spans="1:7" ht="24.95" customHeight="1">
      <c r="B31" s="14"/>
      <c r="C31" s="14"/>
      <c r="D31" s="14"/>
      <c r="E31" s="14"/>
      <c r="F31" s="14"/>
      <c r="G31" s="14"/>
    </row>
    <row r="33" spans="1:7" ht="24.95" customHeight="1">
      <c r="A33" s="3" t="s">
        <v>472</v>
      </c>
      <c r="B33" s="14" t="s">
        <v>473</v>
      </c>
      <c r="C33" s="14"/>
      <c r="D33" s="14"/>
      <c r="E33" s="14"/>
      <c r="F33" s="14"/>
      <c r="G33" s="14"/>
    </row>
    <row r="34" spans="1:7" ht="24.95" customHeight="1">
      <c r="B34" s="14"/>
      <c r="C34" s="14"/>
      <c r="D34" s="14"/>
      <c r="E34" s="14"/>
      <c r="F34" s="14"/>
      <c r="G34" s="14"/>
    </row>
    <row r="35" spans="1:7" ht="24.95" customHeight="1">
      <c r="B35" s="14"/>
      <c r="C35" s="14"/>
      <c r="D35" s="14"/>
      <c r="E35" s="14"/>
      <c r="F35" s="14"/>
      <c r="G35" s="14"/>
    </row>
    <row r="37" spans="1:7" ht="24.95" customHeight="1">
      <c r="A37" s="3" t="s">
        <v>474</v>
      </c>
      <c r="B37" s="14" t="s">
        <v>475</v>
      </c>
      <c r="C37" s="14"/>
      <c r="D37" s="14"/>
      <c r="E37" s="14"/>
      <c r="F37" s="14"/>
      <c r="G37" s="14"/>
    </row>
    <row r="38" spans="1:7" ht="24.95" customHeight="1">
      <c r="B38" s="14"/>
      <c r="C38" s="14"/>
      <c r="D38" s="14"/>
      <c r="E38" s="14"/>
      <c r="F38" s="14"/>
      <c r="G38" s="14"/>
    </row>
    <row r="39" spans="1:7" ht="24.95" customHeight="1">
      <c r="B39" s="14"/>
      <c r="C39" s="14"/>
      <c r="D39" s="14"/>
      <c r="E39" s="14"/>
      <c r="F39" s="14"/>
      <c r="G39" s="14"/>
    </row>
    <row r="41" spans="1:7" ht="24.95" customHeight="1">
      <c r="A41" s="3" t="s">
        <v>476</v>
      </c>
      <c r="B41" s="14" t="s">
        <v>477</v>
      </c>
      <c r="C41" s="14"/>
      <c r="D41" s="14"/>
      <c r="E41" s="14"/>
      <c r="F41" s="14"/>
      <c r="G41" s="14"/>
    </row>
    <row r="42" spans="1:7" ht="24.95" customHeight="1">
      <c r="B42" s="14"/>
      <c r="C42" s="14"/>
      <c r="D42" s="14"/>
      <c r="E42" s="14"/>
      <c r="F42" s="14"/>
      <c r="G42" s="14"/>
    </row>
    <row r="43" spans="1:7" ht="24.95" customHeight="1">
      <c r="B43" s="14"/>
      <c r="C43" s="14"/>
      <c r="D43" s="14"/>
      <c r="E43" s="14"/>
      <c r="F43" s="14"/>
      <c r="G43" s="14"/>
    </row>
    <row r="45" spans="1:7" ht="24.95" customHeight="1">
      <c r="A45" s="3" t="s">
        <v>478</v>
      </c>
      <c r="B45" s="14" t="s">
        <v>479</v>
      </c>
      <c r="C45" s="14"/>
      <c r="D45" s="14"/>
      <c r="E45" s="14"/>
      <c r="F45" s="14"/>
      <c r="G45" s="14"/>
    </row>
    <row r="46" spans="1:7" ht="24.95" customHeight="1">
      <c r="B46" s="14"/>
      <c r="C46" s="14"/>
      <c r="D46" s="14"/>
      <c r="E46" s="14"/>
      <c r="F46" s="14"/>
      <c r="G46" s="14"/>
    </row>
    <row r="47" spans="1:7" ht="24.95" customHeight="1">
      <c r="B47" s="14"/>
      <c r="C47" s="14"/>
      <c r="D47" s="14"/>
      <c r="E47" s="14"/>
      <c r="F47" s="14"/>
      <c r="G47" s="14"/>
    </row>
    <row r="49" spans="1:7" ht="24.95" customHeight="1">
      <c r="A49" s="3" t="s">
        <v>480</v>
      </c>
      <c r="B49" s="14" t="s">
        <v>481</v>
      </c>
      <c r="C49" s="14"/>
      <c r="D49" s="14"/>
      <c r="E49" s="14"/>
      <c r="F49" s="14"/>
      <c r="G49" s="14"/>
    </row>
    <row r="50" spans="1:7" ht="24.95" customHeight="1">
      <c r="B50" s="14"/>
      <c r="C50" s="14"/>
      <c r="D50" s="14"/>
      <c r="E50" s="14"/>
      <c r="F50" s="14"/>
      <c r="G50" s="14"/>
    </row>
    <row r="51" spans="1:7" ht="24.95" customHeight="1">
      <c r="B51" s="14"/>
      <c r="C51" s="14"/>
      <c r="D51" s="14"/>
      <c r="E51" s="14"/>
      <c r="F51" s="14"/>
      <c r="G51" s="14"/>
    </row>
    <row r="53" spans="1:7" ht="24.95" customHeight="1">
      <c r="A53" s="3" t="s">
        <v>482</v>
      </c>
      <c r="B53" s="14" t="s">
        <v>483</v>
      </c>
      <c r="C53" s="14"/>
      <c r="D53" s="14"/>
      <c r="E53" s="14"/>
      <c r="F53" s="14"/>
      <c r="G53" s="14"/>
    </row>
    <row r="54" spans="1:7" ht="24.95" customHeight="1">
      <c r="B54" s="14"/>
      <c r="C54" s="14"/>
      <c r="D54" s="14"/>
      <c r="E54" s="14"/>
      <c r="F54" s="14"/>
      <c r="G54" s="14"/>
    </row>
    <row r="55" spans="1:7" ht="24.95" customHeight="1">
      <c r="B55" s="14"/>
      <c r="C55" s="14"/>
      <c r="D55" s="14"/>
      <c r="E55" s="14"/>
      <c r="F55" s="14"/>
      <c r="G55" s="14"/>
    </row>
    <row r="57" spans="1:7" ht="24.95" customHeight="1">
      <c r="A57" s="3" t="s">
        <v>484</v>
      </c>
      <c r="B57" s="14" t="s">
        <v>485</v>
      </c>
      <c r="C57" s="14"/>
      <c r="D57" s="14"/>
      <c r="E57" s="14"/>
      <c r="F57" s="14"/>
      <c r="G57" s="14"/>
    </row>
    <row r="58" spans="1:7" ht="24.95" customHeight="1">
      <c r="B58" s="14"/>
      <c r="C58" s="14"/>
      <c r="D58" s="14"/>
      <c r="E58" s="14"/>
      <c r="F58" s="14"/>
      <c r="G58" s="14"/>
    </row>
    <row r="59" spans="1:7" ht="24.95" customHeight="1">
      <c r="B59" s="14"/>
      <c r="C59" s="14"/>
      <c r="D59" s="14"/>
      <c r="E59" s="14"/>
      <c r="F59" s="14"/>
      <c r="G59" s="14"/>
    </row>
    <row r="61" spans="1:7" ht="24.95" customHeight="1">
      <c r="A61" s="3" t="s">
        <v>486</v>
      </c>
      <c r="B61" s="14" t="s">
        <v>487</v>
      </c>
      <c r="C61" s="14"/>
      <c r="D61" s="14"/>
      <c r="E61" s="14"/>
      <c r="F61" s="14"/>
      <c r="G61" s="14"/>
    </row>
    <row r="62" spans="1:7" ht="24.95" customHeight="1">
      <c r="B62" s="14"/>
      <c r="C62" s="14"/>
      <c r="D62" s="14"/>
      <c r="E62" s="14"/>
      <c r="F62" s="14"/>
      <c r="G62" s="14"/>
    </row>
    <row r="63" spans="1:7" ht="24.95" customHeight="1">
      <c r="B63" s="14"/>
      <c r="C63" s="14"/>
      <c r="D63" s="14"/>
      <c r="E63" s="14"/>
      <c r="F63" s="14"/>
      <c r="G63" s="14"/>
    </row>
    <row r="65" spans="1:7" ht="24.95" customHeight="1">
      <c r="A65" s="3" t="s">
        <v>488</v>
      </c>
      <c r="B65" s="14" t="s">
        <v>489</v>
      </c>
      <c r="C65" s="14"/>
      <c r="D65" s="14"/>
      <c r="E65" s="14"/>
      <c r="F65" s="14"/>
      <c r="G65" s="14"/>
    </row>
    <row r="66" spans="1:7" ht="24.95" customHeight="1">
      <c r="B66" s="14"/>
      <c r="C66" s="14"/>
      <c r="D66" s="14"/>
      <c r="E66" s="14"/>
      <c r="F66" s="14"/>
      <c r="G66" s="14"/>
    </row>
    <row r="67" spans="1:7" ht="24.95" customHeight="1">
      <c r="B67" s="14"/>
      <c r="C67" s="14"/>
      <c r="D67" s="14"/>
      <c r="E67" s="14"/>
      <c r="F67" s="14"/>
      <c r="G67" s="14"/>
    </row>
    <row r="69" spans="1:7" ht="24.95" customHeight="1">
      <c r="A69" s="3" t="s">
        <v>490</v>
      </c>
      <c r="B69" s="14" t="s">
        <v>491</v>
      </c>
      <c r="C69" s="14"/>
      <c r="D69" s="14"/>
      <c r="E69" s="14"/>
      <c r="F69" s="14"/>
      <c r="G69" s="14"/>
    </row>
    <row r="70" spans="1:7" ht="24.95" customHeight="1">
      <c r="B70" s="14"/>
      <c r="C70" s="14"/>
      <c r="D70" s="14"/>
      <c r="E70" s="14"/>
      <c r="F70" s="14"/>
      <c r="G70" s="14"/>
    </row>
    <row r="71" spans="1:7" ht="24.95" customHeight="1">
      <c r="B71" s="14"/>
      <c r="C71" s="14"/>
      <c r="D71" s="14"/>
      <c r="E71" s="14"/>
      <c r="F71" s="14"/>
      <c r="G71" s="14"/>
    </row>
    <row r="73" spans="1:7" ht="24.95" customHeight="1">
      <c r="A73" s="3" t="s">
        <v>492</v>
      </c>
      <c r="B73" s="14" t="s">
        <v>493</v>
      </c>
      <c r="C73" s="14"/>
      <c r="D73" s="14"/>
      <c r="E73" s="14"/>
      <c r="F73" s="14"/>
      <c r="G73" s="14"/>
    </row>
    <row r="74" spans="1:7" ht="24.95" customHeight="1">
      <c r="B74" s="14"/>
      <c r="C74" s="14"/>
      <c r="D74" s="14"/>
      <c r="E74" s="14"/>
      <c r="F74" s="14"/>
      <c r="G74" s="14"/>
    </row>
    <row r="75" spans="1:7" ht="24.95" customHeight="1">
      <c r="B75" s="14"/>
      <c r="C75" s="14"/>
      <c r="D75" s="14"/>
      <c r="E75" s="14"/>
      <c r="F75" s="14"/>
      <c r="G75" s="14"/>
    </row>
    <row r="77" spans="1:7" ht="24.95" customHeight="1">
      <c r="A77" s="3" t="s">
        <v>494</v>
      </c>
      <c r="B77" s="14" t="s">
        <v>495</v>
      </c>
      <c r="C77" s="14"/>
      <c r="D77" s="14"/>
      <c r="E77" s="14"/>
      <c r="F77" s="14"/>
      <c r="G77" s="14"/>
    </row>
    <row r="78" spans="1:7" ht="24.95" customHeight="1">
      <c r="B78" s="14"/>
      <c r="C78" s="14"/>
      <c r="D78" s="14"/>
      <c r="E78" s="14"/>
      <c r="F78" s="14"/>
      <c r="G78" s="14"/>
    </row>
    <row r="79" spans="1:7" ht="24.95" customHeight="1">
      <c r="B79" s="14"/>
      <c r="C79" s="14"/>
      <c r="D79" s="14"/>
      <c r="E79" s="14"/>
      <c r="F79" s="14"/>
      <c r="G79" s="14"/>
    </row>
    <row r="81" spans="1:7" ht="24.95" customHeight="1">
      <c r="A81" s="3" t="s">
        <v>496</v>
      </c>
      <c r="B81" s="14" t="s">
        <v>497</v>
      </c>
      <c r="C81" s="14"/>
      <c r="D81" s="14"/>
      <c r="E81" s="14"/>
      <c r="F81" s="14"/>
      <c r="G81" s="14"/>
    </row>
    <row r="82" spans="1:7" ht="24.95" customHeight="1">
      <c r="B82" s="14"/>
      <c r="C82" s="14"/>
      <c r="D82" s="14"/>
      <c r="E82" s="14"/>
      <c r="F82" s="14"/>
      <c r="G82" s="14"/>
    </row>
    <row r="83" spans="1:7" ht="24.95" customHeight="1">
      <c r="B83" s="14"/>
      <c r="C83" s="14"/>
      <c r="D83" s="14"/>
      <c r="E83" s="14"/>
      <c r="F83" s="14"/>
      <c r="G83" s="14"/>
    </row>
  </sheetData>
  <mergeCells count="20">
    <mergeCell ref="B5:G7"/>
    <mergeCell ref="B9:G11"/>
    <mergeCell ref="B13:G15"/>
    <mergeCell ref="B17:G19"/>
    <mergeCell ref="B21:G23"/>
    <mergeCell ref="B25:G27"/>
    <mergeCell ref="B29:G31"/>
    <mergeCell ref="B33:G35"/>
    <mergeCell ref="B37:G39"/>
    <mergeCell ref="B41:G43"/>
    <mergeCell ref="B45:G47"/>
    <mergeCell ref="B49:G51"/>
    <mergeCell ref="B53:G55"/>
    <mergeCell ref="B57:G59"/>
    <mergeCell ref="B61:G63"/>
    <mergeCell ref="B65:G67"/>
    <mergeCell ref="B69:G71"/>
    <mergeCell ref="B73:G75"/>
    <mergeCell ref="B77:G79"/>
    <mergeCell ref="B81:G83"/>
  </mergeCells>
  <phoneticPr fontId="7" type="noConversion"/>
  <pageMargins left="0.25" right="0.25" top="0.4" bottom="0.4" header="0.3" footer="0.3"/>
  <pageSetup paperSize="9" scale="38" fitToHeight="0" orientation="portrait" r:id="rId1"/>
  <headerFooter>
    <oddFooter>&amp;L模拟数据 · 学习用途&amp;C&amp;P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3A53E"/>
    <pageSetUpPr fitToPage="1"/>
  </sheetPr>
  <dimension ref="A2:AH92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46.75" customWidth="1"/>
    <col min="2" max="2" width="22.75" customWidth="1"/>
    <col min="3" max="3" width="20.75" customWidth="1"/>
    <col min="4" max="34" width="15.75" customWidth="1"/>
  </cols>
  <sheetData>
    <row r="2" spans="1:11" ht="29.1" customHeight="1">
      <c r="A2" s="2" t="s">
        <v>1</v>
      </c>
    </row>
    <row r="5" spans="1:11" ht="21" customHeight="1">
      <c r="A5" s="5" t="s">
        <v>10</v>
      </c>
      <c r="B5" s="5" t="s">
        <v>11</v>
      </c>
      <c r="C5" s="5" t="s">
        <v>12</v>
      </c>
      <c r="D5" s="16" t="s">
        <v>13</v>
      </c>
      <c r="E5" s="16"/>
      <c r="F5" s="16"/>
      <c r="G5" s="16"/>
      <c r="H5" s="16"/>
      <c r="I5" s="16"/>
      <c r="J5" s="16"/>
      <c r="K5" s="16"/>
    </row>
    <row r="6" spans="1:11" ht="21" customHeight="1">
      <c r="A6" s="15" t="s">
        <v>14</v>
      </c>
      <c r="B6" s="15"/>
      <c r="C6" s="15"/>
      <c r="D6" s="15"/>
      <c r="E6" s="15"/>
      <c r="F6" s="15"/>
      <c r="G6" s="15"/>
      <c r="H6" s="15"/>
      <c r="I6" s="15"/>
      <c r="J6" s="15"/>
      <c r="K6" s="15"/>
    </row>
    <row r="7" spans="1:11" ht="30" customHeight="1">
      <c r="A7" t="s">
        <v>15</v>
      </c>
      <c r="B7" s="6" t="s">
        <v>498</v>
      </c>
      <c r="C7" t="s">
        <v>16</v>
      </c>
      <c r="D7" s="14" t="s">
        <v>17</v>
      </c>
      <c r="E7" s="14"/>
      <c r="F7" s="14"/>
      <c r="G7" s="14"/>
      <c r="H7" s="14"/>
      <c r="I7" s="14"/>
      <c r="J7" s="14"/>
      <c r="K7" s="14"/>
    </row>
    <row r="8" spans="1:11" ht="30" customHeight="1">
      <c r="A8" t="s">
        <v>18</v>
      </c>
      <c r="B8" s="7">
        <v>2026</v>
      </c>
      <c r="C8" t="s">
        <v>19</v>
      </c>
      <c r="D8" s="14" t="s">
        <v>20</v>
      </c>
      <c r="E8" s="14"/>
      <c r="F8" s="14"/>
      <c r="G8" s="14"/>
      <c r="H8" s="14"/>
      <c r="I8" s="14"/>
      <c r="J8" s="14"/>
      <c r="K8" s="14"/>
    </row>
    <row r="9" spans="1:11" ht="30" customHeight="1">
      <c r="A9" t="s">
        <v>21</v>
      </c>
      <c r="B9" s="7">
        <v>20</v>
      </c>
      <c r="C9" t="s">
        <v>19</v>
      </c>
      <c r="D9" s="14" t="s">
        <v>22</v>
      </c>
      <c r="E9" s="14"/>
      <c r="F9" s="14"/>
      <c r="G9" s="14"/>
      <c r="H9" s="14"/>
      <c r="I9" s="14"/>
      <c r="J9" s="14"/>
      <c r="K9" s="14"/>
    </row>
    <row r="10" spans="1:11" ht="30" customHeight="1">
      <c r="A10" t="s">
        <v>23</v>
      </c>
      <c r="B10" s="8">
        <v>100000</v>
      </c>
      <c r="C10" t="s">
        <v>24</v>
      </c>
      <c r="D10" s="14" t="s">
        <v>25</v>
      </c>
      <c r="E10" s="14"/>
      <c r="F10" s="14"/>
      <c r="G10" s="14"/>
      <c r="H10" s="14"/>
      <c r="I10" s="14"/>
      <c r="J10" s="14"/>
      <c r="K10" s="14"/>
    </row>
    <row r="11" spans="1:11" ht="30" customHeight="1">
      <c r="A11" t="s">
        <v>26</v>
      </c>
      <c r="B11" s="8">
        <v>1.5</v>
      </c>
      <c r="C11" t="s">
        <v>27</v>
      </c>
      <c r="D11" s="14" t="s">
        <v>28</v>
      </c>
      <c r="E11" s="14"/>
      <c r="F11" s="14"/>
      <c r="G11" s="14"/>
      <c r="H11" s="14"/>
      <c r="I11" s="14"/>
      <c r="J11" s="14"/>
      <c r="K11" s="14"/>
    </row>
    <row r="12" spans="1:11" ht="30" customHeight="1">
      <c r="A12" t="s">
        <v>29</v>
      </c>
      <c r="B12" s="9">
        <v>0.9</v>
      </c>
      <c r="C12" t="s">
        <v>30</v>
      </c>
      <c r="D12" s="14" t="s">
        <v>31</v>
      </c>
      <c r="E12" s="14"/>
      <c r="F12" s="14"/>
      <c r="G12" s="14"/>
      <c r="H12" s="14"/>
      <c r="I12" s="14"/>
      <c r="J12" s="14"/>
      <c r="K12" s="14"/>
    </row>
    <row r="13" spans="1:11" ht="30" customHeight="1">
      <c r="A13" t="s">
        <v>32</v>
      </c>
      <c r="B13" s="8">
        <v>15000</v>
      </c>
      <c r="C13" t="s">
        <v>24</v>
      </c>
      <c r="D13" s="14" t="s">
        <v>33</v>
      </c>
      <c r="E13" s="14"/>
      <c r="F13" s="14"/>
      <c r="G13" s="14"/>
      <c r="H13" s="14"/>
      <c r="I13" s="14"/>
      <c r="J13" s="14"/>
      <c r="K13" s="14"/>
    </row>
    <row r="14" spans="1:11" ht="30" customHeight="1">
      <c r="A14" t="s">
        <v>34</v>
      </c>
      <c r="B14" s="9">
        <v>0.55000000000000004</v>
      </c>
      <c r="C14" t="s">
        <v>30</v>
      </c>
      <c r="D14" s="14" t="s">
        <v>35</v>
      </c>
      <c r="E14" s="14"/>
      <c r="F14" s="14"/>
      <c r="G14" s="14"/>
      <c r="H14" s="14"/>
      <c r="I14" s="14"/>
      <c r="J14" s="14"/>
      <c r="K14" s="14"/>
    </row>
    <row r="15" spans="1:11" ht="30" customHeight="1">
      <c r="A15" t="s">
        <v>36</v>
      </c>
      <c r="B15" s="10">
        <f>1-核心参数输入!$B$14</f>
        <v>0.44999999999999996</v>
      </c>
      <c r="C15" t="s">
        <v>30</v>
      </c>
      <c r="D15" s="14" t="s">
        <v>37</v>
      </c>
      <c r="E15" s="14"/>
      <c r="F15" s="14"/>
      <c r="G15" s="14"/>
      <c r="H15" s="14"/>
      <c r="I15" s="14"/>
      <c r="J15" s="14"/>
      <c r="K15" s="14"/>
    </row>
    <row r="16" spans="1:11" ht="30" customHeight="1">
      <c r="A16" t="s">
        <v>38</v>
      </c>
      <c r="B16" s="7">
        <v>3</v>
      </c>
      <c r="C16" t="s">
        <v>19</v>
      </c>
      <c r="D16" s="14" t="s">
        <v>39</v>
      </c>
      <c r="E16" s="14"/>
      <c r="F16" s="14"/>
      <c r="G16" s="14"/>
      <c r="H16" s="14"/>
      <c r="I16" s="14"/>
      <c r="J16" s="14"/>
      <c r="K16" s="14"/>
    </row>
    <row r="17" spans="1:11" ht="30" customHeight="1">
      <c r="A17" t="s">
        <v>40</v>
      </c>
      <c r="B17" s="7">
        <v>4</v>
      </c>
      <c r="C17" t="s">
        <v>41</v>
      </c>
      <c r="D17" s="14" t="s">
        <v>42</v>
      </c>
      <c r="E17" s="14"/>
      <c r="F17" s="14"/>
      <c r="G17" s="14"/>
      <c r="H17" s="14"/>
      <c r="I17" s="14"/>
      <c r="J17" s="14"/>
      <c r="K17" s="14"/>
    </row>
    <row r="18" spans="1:11" ht="30" customHeight="1">
      <c r="A18" t="s">
        <v>43</v>
      </c>
      <c r="B18" s="7">
        <v>4</v>
      </c>
      <c r="C18" t="s">
        <v>41</v>
      </c>
      <c r="D18" s="14" t="s">
        <v>44</v>
      </c>
      <c r="E18" s="14"/>
      <c r="F18" s="14"/>
      <c r="G18" s="14"/>
      <c r="H18" s="14"/>
      <c r="I18" s="14"/>
      <c r="J18" s="14"/>
      <c r="K18" s="14"/>
    </row>
    <row r="20" spans="1:11" ht="21" customHeight="1">
      <c r="A20" s="15" t="s">
        <v>45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</row>
    <row r="21" spans="1:11" ht="30" customHeight="1">
      <c r="A21" t="s">
        <v>46</v>
      </c>
      <c r="B21" s="8">
        <v>800</v>
      </c>
      <c r="C21" t="s">
        <v>47</v>
      </c>
      <c r="D21" s="14" t="s">
        <v>48</v>
      </c>
      <c r="E21" s="14"/>
      <c r="F21" s="14"/>
      <c r="G21" s="14"/>
      <c r="H21" s="14"/>
      <c r="I21" s="14"/>
      <c r="J21" s="14"/>
      <c r="K21" s="14"/>
    </row>
    <row r="22" spans="1:11" ht="30" customHeight="1">
      <c r="A22" t="s">
        <v>49</v>
      </c>
      <c r="B22" s="8">
        <v>2400</v>
      </c>
      <c r="C22" t="s">
        <v>47</v>
      </c>
      <c r="D22" s="14" t="s">
        <v>50</v>
      </c>
      <c r="E22" s="14"/>
      <c r="F22" s="14"/>
      <c r="G22" s="14"/>
      <c r="H22" s="14"/>
      <c r="I22" s="14"/>
      <c r="J22" s="14"/>
      <c r="K22" s="14"/>
    </row>
    <row r="23" spans="1:11" ht="30" customHeight="1">
      <c r="A23" t="s">
        <v>51</v>
      </c>
      <c r="B23" s="8">
        <v>3000</v>
      </c>
      <c r="C23" t="s">
        <v>47</v>
      </c>
      <c r="D23" s="14" t="s">
        <v>52</v>
      </c>
      <c r="E23" s="14"/>
      <c r="F23" s="14"/>
      <c r="G23" s="14"/>
      <c r="H23" s="14"/>
      <c r="I23" s="14"/>
      <c r="J23" s="14"/>
      <c r="K23" s="14"/>
    </row>
    <row r="24" spans="1:11" ht="30" customHeight="1">
      <c r="A24" t="s">
        <v>53</v>
      </c>
      <c r="B24" s="8">
        <v>4500</v>
      </c>
      <c r="C24" t="s">
        <v>54</v>
      </c>
      <c r="D24" s="14" t="s">
        <v>55</v>
      </c>
      <c r="E24" s="14"/>
      <c r="F24" s="14"/>
      <c r="G24" s="14"/>
      <c r="H24" s="14"/>
      <c r="I24" s="14"/>
      <c r="J24" s="14"/>
      <c r="K24" s="14"/>
    </row>
    <row r="25" spans="1:11" ht="30" customHeight="1">
      <c r="A25" t="s">
        <v>56</v>
      </c>
      <c r="B25" s="8">
        <v>1800</v>
      </c>
      <c r="C25" t="s">
        <v>54</v>
      </c>
      <c r="D25" s="14" t="s">
        <v>57</v>
      </c>
      <c r="E25" s="14"/>
      <c r="F25" s="14"/>
      <c r="G25" s="14"/>
      <c r="H25" s="14"/>
      <c r="I25" s="14"/>
      <c r="J25" s="14"/>
      <c r="K25" s="14"/>
    </row>
    <row r="26" spans="1:11" ht="30" customHeight="1">
      <c r="A26" t="s">
        <v>58</v>
      </c>
      <c r="B26" s="8">
        <v>2200</v>
      </c>
      <c r="C26" t="s">
        <v>54</v>
      </c>
      <c r="D26" s="14" t="s">
        <v>59</v>
      </c>
      <c r="E26" s="14"/>
      <c r="F26" s="14"/>
      <c r="G26" s="14"/>
      <c r="H26" s="14"/>
      <c r="I26" s="14"/>
      <c r="J26" s="14"/>
      <c r="K26" s="14"/>
    </row>
    <row r="27" spans="1:11" ht="30" customHeight="1">
      <c r="A27" t="s">
        <v>60</v>
      </c>
      <c r="B27" s="9">
        <v>0.08</v>
      </c>
      <c r="C27" t="s">
        <v>30</v>
      </c>
      <c r="D27" s="14" t="s">
        <v>61</v>
      </c>
      <c r="E27" s="14"/>
      <c r="F27" s="14"/>
      <c r="G27" s="14"/>
      <c r="H27" s="14"/>
      <c r="I27" s="14"/>
      <c r="J27" s="14"/>
      <c r="K27" s="14"/>
    </row>
    <row r="28" spans="1:11" ht="30" customHeight="1">
      <c r="A28" t="s">
        <v>62</v>
      </c>
      <c r="B28" s="8">
        <v>500</v>
      </c>
      <c r="C28" t="s">
        <v>54</v>
      </c>
      <c r="D28" s="14" t="s">
        <v>63</v>
      </c>
      <c r="E28" s="14"/>
      <c r="F28" s="14"/>
      <c r="G28" s="14"/>
      <c r="H28" s="14"/>
      <c r="I28" s="14"/>
      <c r="J28" s="14"/>
      <c r="K28" s="14"/>
    </row>
    <row r="30" spans="1:11" ht="21" customHeight="1">
      <c r="A30" s="15" t="s">
        <v>64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</row>
    <row r="31" spans="1:11" ht="30" customHeight="1">
      <c r="A31" t="s">
        <v>65</v>
      </c>
      <c r="B31" s="8">
        <v>6500</v>
      </c>
      <c r="C31" t="s">
        <v>47</v>
      </c>
      <c r="D31" s="14" t="s">
        <v>66</v>
      </c>
      <c r="E31" s="14"/>
      <c r="F31" s="14"/>
      <c r="G31" s="14"/>
      <c r="H31" s="14"/>
      <c r="I31" s="14"/>
      <c r="J31" s="14"/>
      <c r="K31" s="14"/>
    </row>
    <row r="32" spans="1:11" ht="30" customHeight="1">
      <c r="A32" t="s">
        <v>67</v>
      </c>
      <c r="B32" s="9">
        <v>2.5000000000000001E-2</v>
      </c>
      <c r="C32" t="s">
        <v>30</v>
      </c>
      <c r="D32" s="14" t="s">
        <v>68</v>
      </c>
      <c r="E32" s="14"/>
      <c r="F32" s="14"/>
      <c r="G32" s="14"/>
      <c r="H32" s="14"/>
      <c r="I32" s="14"/>
      <c r="J32" s="14"/>
      <c r="K32" s="14"/>
    </row>
    <row r="33" spans="1:11" ht="30" customHeight="1">
      <c r="A33" t="s">
        <v>69</v>
      </c>
      <c r="B33" s="9">
        <v>0.08</v>
      </c>
      <c r="C33" t="s">
        <v>30</v>
      </c>
      <c r="D33" s="14" t="s">
        <v>70</v>
      </c>
      <c r="E33" s="14"/>
      <c r="F33" s="14"/>
      <c r="G33" s="14"/>
      <c r="H33" s="14"/>
      <c r="I33" s="14"/>
      <c r="J33" s="14"/>
      <c r="K33" s="14"/>
    </row>
    <row r="35" spans="1:11" ht="21" customHeight="1">
      <c r="A35" s="15" t="s">
        <v>71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</row>
    <row r="36" spans="1:11" ht="30" customHeight="1">
      <c r="A36" t="s">
        <v>72</v>
      </c>
      <c r="B36" s="8">
        <v>26</v>
      </c>
      <c r="C36" t="s">
        <v>73</v>
      </c>
      <c r="D36" s="14" t="s">
        <v>74</v>
      </c>
      <c r="E36" s="14"/>
      <c r="F36" s="14"/>
      <c r="G36" s="14"/>
      <c r="H36" s="14"/>
      <c r="I36" s="14"/>
      <c r="J36" s="14"/>
      <c r="K36" s="14"/>
    </row>
    <row r="37" spans="1:11" ht="30" customHeight="1">
      <c r="A37" t="s">
        <v>75</v>
      </c>
      <c r="B37" s="9">
        <v>1.4999999999999999E-2</v>
      </c>
      <c r="C37" t="s">
        <v>30</v>
      </c>
      <c r="D37" s="14" t="s">
        <v>76</v>
      </c>
      <c r="E37" s="14"/>
      <c r="F37" s="14"/>
      <c r="G37" s="14"/>
      <c r="H37" s="14"/>
      <c r="I37" s="14"/>
      <c r="J37" s="14"/>
      <c r="K37" s="14"/>
    </row>
    <row r="38" spans="1:11" ht="30" customHeight="1">
      <c r="A38" t="s">
        <v>77</v>
      </c>
      <c r="B38" s="9">
        <v>0.5</v>
      </c>
      <c r="C38" t="s">
        <v>30</v>
      </c>
      <c r="D38" s="14" t="s">
        <v>78</v>
      </c>
      <c r="E38" s="14"/>
      <c r="F38" s="14"/>
      <c r="G38" s="14"/>
      <c r="H38" s="14"/>
      <c r="I38" s="14"/>
      <c r="J38" s="14"/>
      <c r="K38" s="14"/>
    </row>
    <row r="39" spans="1:11" ht="30" customHeight="1">
      <c r="A39" t="s">
        <v>79</v>
      </c>
      <c r="B39" s="9">
        <v>0.7</v>
      </c>
      <c r="C39" t="s">
        <v>30</v>
      </c>
      <c r="D39" s="14" t="s">
        <v>80</v>
      </c>
      <c r="E39" s="14"/>
      <c r="F39" s="14"/>
      <c r="G39" s="14"/>
      <c r="H39" s="14"/>
      <c r="I39" s="14"/>
      <c r="J39" s="14"/>
      <c r="K39" s="14"/>
    </row>
    <row r="40" spans="1:11" ht="30" customHeight="1">
      <c r="A40" t="s">
        <v>81</v>
      </c>
      <c r="B40" s="9">
        <v>0.85</v>
      </c>
      <c r="C40" t="s">
        <v>30</v>
      </c>
      <c r="D40" s="14" t="s">
        <v>82</v>
      </c>
      <c r="E40" s="14"/>
      <c r="F40" s="14"/>
      <c r="G40" s="14"/>
      <c r="H40" s="14"/>
      <c r="I40" s="14"/>
      <c r="J40" s="14"/>
      <c r="K40" s="14"/>
    </row>
    <row r="41" spans="1:11" ht="30" customHeight="1">
      <c r="A41" t="s">
        <v>83</v>
      </c>
      <c r="B41" s="9">
        <v>0.9</v>
      </c>
      <c r="C41" t="s">
        <v>30</v>
      </c>
      <c r="D41" s="14" t="s">
        <v>84</v>
      </c>
      <c r="E41" s="14"/>
      <c r="F41" s="14"/>
      <c r="G41" s="14"/>
      <c r="H41" s="14"/>
      <c r="I41" s="14"/>
      <c r="J41" s="14"/>
      <c r="K41" s="14"/>
    </row>
    <row r="42" spans="1:11" ht="30" customHeight="1">
      <c r="A42" t="s">
        <v>85</v>
      </c>
      <c r="B42" s="7">
        <v>3</v>
      </c>
      <c r="C42" t="s">
        <v>86</v>
      </c>
      <c r="D42" s="14" t="s">
        <v>87</v>
      </c>
      <c r="E42" s="14"/>
      <c r="F42" s="14"/>
      <c r="G42" s="14"/>
      <c r="H42" s="14"/>
      <c r="I42" s="14"/>
      <c r="J42" s="14"/>
      <c r="K42" s="14"/>
    </row>
    <row r="43" spans="1:11" ht="30" customHeight="1">
      <c r="A43" t="s">
        <v>88</v>
      </c>
      <c r="B43" s="9">
        <v>0.98</v>
      </c>
      <c r="C43" t="s">
        <v>30</v>
      </c>
      <c r="D43" s="14" t="s">
        <v>89</v>
      </c>
      <c r="E43" s="14"/>
      <c r="F43" s="14"/>
      <c r="G43" s="14"/>
      <c r="H43" s="14"/>
      <c r="I43" s="14"/>
      <c r="J43" s="14"/>
      <c r="K43" s="14"/>
    </row>
    <row r="44" spans="1:11" ht="30" customHeight="1">
      <c r="A44" t="s">
        <v>90</v>
      </c>
      <c r="B44" s="9">
        <v>0.05</v>
      </c>
      <c r="C44" t="s">
        <v>30</v>
      </c>
      <c r="D44" s="14" t="s">
        <v>91</v>
      </c>
      <c r="E44" s="14"/>
      <c r="F44" s="14"/>
      <c r="G44" s="14"/>
      <c r="H44" s="14"/>
      <c r="I44" s="14"/>
      <c r="J44" s="14"/>
      <c r="K44" s="14"/>
    </row>
    <row r="46" spans="1:11" ht="21" customHeight="1">
      <c r="A46" s="15" t="s">
        <v>92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</row>
    <row r="47" spans="1:11" ht="30" customHeight="1">
      <c r="A47" t="s">
        <v>93</v>
      </c>
      <c r="B47" s="8">
        <v>300</v>
      </c>
      <c r="C47" t="s">
        <v>94</v>
      </c>
      <c r="D47" s="14" t="s">
        <v>95</v>
      </c>
      <c r="E47" s="14"/>
      <c r="F47" s="14"/>
      <c r="G47" s="14"/>
      <c r="H47" s="14"/>
      <c r="I47" s="14"/>
      <c r="J47" s="14"/>
      <c r="K47" s="14"/>
    </row>
    <row r="48" spans="1:11" ht="30" customHeight="1">
      <c r="A48" t="s">
        <v>96</v>
      </c>
      <c r="B48" s="9">
        <v>0.02</v>
      </c>
      <c r="C48" t="s">
        <v>30</v>
      </c>
      <c r="D48" s="14" t="s">
        <v>97</v>
      </c>
      <c r="E48" s="14"/>
      <c r="F48" s="14"/>
      <c r="G48" s="14"/>
      <c r="H48" s="14"/>
      <c r="I48" s="14"/>
      <c r="J48" s="14"/>
      <c r="K48" s="14"/>
    </row>
    <row r="49" spans="1:11" ht="30" customHeight="1">
      <c r="A49" t="s">
        <v>98</v>
      </c>
      <c r="B49" s="9">
        <v>0.12</v>
      </c>
      <c r="C49" t="s">
        <v>30</v>
      </c>
      <c r="D49" s="14" t="s">
        <v>99</v>
      </c>
      <c r="E49" s="14"/>
      <c r="F49" s="14"/>
      <c r="G49" s="14"/>
      <c r="H49" s="14"/>
      <c r="I49" s="14"/>
      <c r="J49" s="14"/>
      <c r="K49" s="14"/>
    </row>
    <row r="50" spans="1:11" ht="30" customHeight="1">
      <c r="A50" t="s">
        <v>100</v>
      </c>
      <c r="B50" s="8">
        <v>180</v>
      </c>
      <c r="C50" t="s">
        <v>94</v>
      </c>
      <c r="D50" s="14" t="s">
        <v>101</v>
      </c>
      <c r="E50" s="14"/>
      <c r="F50" s="14"/>
      <c r="G50" s="14"/>
      <c r="H50" s="14"/>
      <c r="I50" s="14"/>
      <c r="J50" s="14"/>
      <c r="K50" s="14"/>
    </row>
    <row r="51" spans="1:11" ht="30" customHeight="1">
      <c r="A51" t="s">
        <v>102</v>
      </c>
      <c r="B51" s="9">
        <v>0.06</v>
      </c>
      <c r="C51" t="s">
        <v>30</v>
      </c>
      <c r="D51" s="14" t="s">
        <v>103</v>
      </c>
      <c r="E51" s="14"/>
      <c r="F51" s="14"/>
      <c r="G51" s="14"/>
      <c r="H51" s="14"/>
      <c r="I51" s="14"/>
      <c r="J51" s="14"/>
      <c r="K51" s="14"/>
    </row>
    <row r="52" spans="1:11" ht="30" customHeight="1">
      <c r="A52" t="s">
        <v>104</v>
      </c>
      <c r="B52" s="9">
        <v>0.25</v>
      </c>
      <c r="C52" t="s">
        <v>30</v>
      </c>
      <c r="D52" s="14" t="s">
        <v>105</v>
      </c>
      <c r="E52" s="14"/>
      <c r="F52" s="14"/>
      <c r="G52" s="14"/>
      <c r="H52" s="14"/>
      <c r="I52" s="14"/>
      <c r="J52" s="14"/>
      <c r="K52" s="14"/>
    </row>
    <row r="53" spans="1:11" ht="30" customHeight="1">
      <c r="A53" t="s">
        <v>106</v>
      </c>
      <c r="B53" s="7">
        <v>30</v>
      </c>
      <c r="C53" t="s">
        <v>19</v>
      </c>
      <c r="D53" s="14" t="s">
        <v>107</v>
      </c>
      <c r="E53" s="14"/>
      <c r="F53" s="14"/>
      <c r="G53" s="14"/>
      <c r="H53" s="14"/>
      <c r="I53" s="14"/>
      <c r="J53" s="14"/>
      <c r="K53" s="14"/>
    </row>
    <row r="54" spans="1:11" ht="30" customHeight="1">
      <c r="A54" t="s">
        <v>108</v>
      </c>
      <c r="B54" s="9">
        <v>0.05</v>
      </c>
      <c r="C54" t="s">
        <v>30</v>
      </c>
      <c r="D54" s="14" t="s">
        <v>109</v>
      </c>
      <c r="E54" s="14"/>
      <c r="F54" s="14"/>
      <c r="G54" s="14"/>
      <c r="H54" s="14"/>
      <c r="I54" s="14"/>
      <c r="J54" s="14"/>
      <c r="K54" s="14"/>
    </row>
    <row r="56" spans="1:11" ht="21" customHeight="1">
      <c r="A56" s="15" t="s">
        <v>110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</row>
    <row r="57" spans="1:11" ht="30" customHeight="1">
      <c r="A57" t="s">
        <v>111</v>
      </c>
      <c r="B57" s="8">
        <v>30000</v>
      </c>
      <c r="C57" t="s">
        <v>54</v>
      </c>
      <c r="D57" s="14" t="s">
        <v>112</v>
      </c>
      <c r="E57" s="14"/>
      <c r="F57" s="14"/>
      <c r="G57" s="14"/>
      <c r="H57" s="14"/>
      <c r="I57" s="14"/>
      <c r="J57" s="14"/>
      <c r="K57" s="14"/>
    </row>
    <row r="58" spans="1:11" ht="30" customHeight="1">
      <c r="A58" t="s">
        <v>113</v>
      </c>
      <c r="B58" s="9">
        <v>4.2000000000000003E-2</v>
      </c>
      <c r="C58" t="s">
        <v>30</v>
      </c>
      <c r="D58" s="14" t="s">
        <v>114</v>
      </c>
      <c r="E58" s="14"/>
      <c r="F58" s="14"/>
      <c r="G58" s="14"/>
      <c r="H58" s="14"/>
      <c r="I58" s="14"/>
      <c r="J58" s="14"/>
      <c r="K58" s="14"/>
    </row>
    <row r="59" spans="1:11" ht="30" customHeight="1">
      <c r="A59" t="s">
        <v>115</v>
      </c>
      <c r="B59" s="7">
        <v>10</v>
      </c>
      <c r="C59" t="s">
        <v>19</v>
      </c>
      <c r="D59" s="14" t="s">
        <v>116</v>
      </c>
      <c r="E59" s="14"/>
      <c r="F59" s="14"/>
      <c r="G59" s="14"/>
      <c r="H59" s="14"/>
      <c r="I59" s="14"/>
      <c r="J59" s="14"/>
      <c r="K59" s="14"/>
    </row>
    <row r="60" spans="1:11" ht="30" customHeight="1">
      <c r="A60" t="s">
        <v>117</v>
      </c>
      <c r="B60" s="7">
        <v>4</v>
      </c>
      <c r="C60" t="s">
        <v>41</v>
      </c>
      <c r="D60" s="14" t="s">
        <v>118</v>
      </c>
      <c r="E60" s="14"/>
      <c r="F60" s="14"/>
      <c r="G60" s="14"/>
      <c r="H60" s="14"/>
      <c r="I60" s="14"/>
      <c r="J60" s="14"/>
      <c r="K60" s="14"/>
    </row>
    <row r="61" spans="1:11" ht="30" customHeight="1">
      <c r="A61" t="s">
        <v>119</v>
      </c>
      <c r="B61" s="8">
        <v>33000</v>
      </c>
      <c r="C61" t="s">
        <v>54</v>
      </c>
      <c r="D61" s="14" t="s">
        <v>120</v>
      </c>
      <c r="E61" s="14"/>
      <c r="F61" s="14"/>
      <c r="G61" s="14"/>
      <c r="H61" s="14"/>
      <c r="I61" s="14"/>
      <c r="J61" s="14"/>
      <c r="K61" s="14"/>
    </row>
    <row r="63" spans="1:11" ht="21" customHeight="1">
      <c r="A63" s="15" t="s">
        <v>121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</row>
    <row r="64" spans="1:11" ht="30" customHeight="1">
      <c r="A64" t="s">
        <v>122</v>
      </c>
      <c r="B64" s="7">
        <v>0</v>
      </c>
      <c r="C64" t="s">
        <v>123</v>
      </c>
      <c r="D64" s="14" t="s">
        <v>124</v>
      </c>
      <c r="E64" s="14"/>
      <c r="F64" s="14"/>
      <c r="G64" s="14"/>
      <c r="H64" s="14"/>
      <c r="I64" s="14"/>
      <c r="J64" s="14"/>
      <c r="K64" s="14"/>
    </row>
    <row r="65" spans="1:11" ht="30" customHeight="1">
      <c r="A65" t="s">
        <v>125</v>
      </c>
      <c r="B65" s="8">
        <v>30000</v>
      </c>
      <c r="C65" t="s">
        <v>54</v>
      </c>
      <c r="D65" s="14" t="s">
        <v>126</v>
      </c>
      <c r="E65" s="14"/>
      <c r="F65" s="14"/>
      <c r="G65" s="14"/>
      <c r="H65" s="14"/>
      <c r="I65" s="14"/>
      <c r="J65" s="14"/>
      <c r="K65" s="14"/>
    </row>
    <row r="66" spans="1:11" ht="30" customHeight="1">
      <c r="A66" t="s">
        <v>127</v>
      </c>
      <c r="B66" s="9">
        <v>0.03</v>
      </c>
      <c r="C66" t="s">
        <v>30</v>
      </c>
      <c r="D66" s="14" t="s">
        <v>128</v>
      </c>
      <c r="E66" s="14"/>
      <c r="F66" s="14"/>
      <c r="G66" s="14"/>
      <c r="H66" s="14"/>
      <c r="I66" s="14"/>
      <c r="J66" s="14"/>
      <c r="K66" s="14"/>
    </row>
    <row r="68" spans="1:11" ht="21" customHeight="1">
      <c r="A68" s="15" t="s">
        <v>129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</row>
    <row r="69" spans="1:11" ht="30" customHeight="1">
      <c r="A69" t="s">
        <v>130</v>
      </c>
      <c r="B69" s="9">
        <v>0.08</v>
      </c>
      <c r="C69" t="s">
        <v>30</v>
      </c>
      <c r="D69" s="14" t="s">
        <v>131</v>
      </c>
      <c r="E69" s="14"/>
      <c r="F69" s="14"/>
      <c r="G69" s="14"/>
      <c r="H69" s="14"/>
      <c r="I69" s="14"/>
      <c r="J69" s="14"/>
      <c r="K69" s="14"/>
    </row>
    <row r="70" spans="1:11" ht="30" customHeight="1">
      <c r="A70" t="s">
        <v>132</v>
      </c>
      <c r="B70" s="9">
        <v>0.1</v>
      </c>
      <c r="C70" t="s">
        <v>30</v>
      </c>
      <c r="D70" s="14" t="s">
        <v>133</v>
      </c>
      <c r="E70" s="14"/>
      <c r="F70" s="14"/>
      <c r="G70" s="14"/>
      <c r="H70" s="14"/>
      <c r="I70" s="14"/>
      <c r="J70" s="14"/>
      <c r="K70" s="14"/>
    </row>
    <row r="71" spans="1:11" ht="30" customHeight="1">
      <c r="A71" t="s">
        <v>134</v>
      </c>
      <c r="B71" s="9">
        <v>0.08</v>
      </c>
      <c r="C71" t="s">
        <v>30</v>
      </c>
      <c r="D71" s="14" t="s">
        <v>135</v>
      </c>
      <c r="E71" s="14"/>
      <c r="F71" s="14"/>
      <c r="G71" s="14"/>
      <c r="H71" s="14"/>
      <c r="I71" s="14"/>
      <c r="J71" s="14"/>
      <c r="K71" s="14"/>
    </row>
    <row r="72" spans="1:11" ht="30" customHeight="1">
      <c r="A72" t="s">
        <v>136</v>
      </c>
      <c r="B72" s="9">
        <v>0.1</v>
      </c>
      <c r="C72" t="s">
        <v>30</v>
      </c>
      <c r="D72" s="14" t="s">
        <v>137</v>
      </c>
      <c r="E72" s="14"/>
      <c r="F72" s="14"/>
      <c r="G72" s="14"/>
      <c r="H72" s="14"/>
      <c r="I72" s="14"/>
      <c r="J72" s="14"/>
      <c r="K72" s="14"/>
    </row>
    <row r="73" spans="1:11" ht="30" customHeight="1">
      <c r="A73" t="s">
        <v>138</v>
      </c>
      <c r="B73" s="8">
        <v>15</v>
      </c>
      <c r="C73" t="s">
        <v>19</v>
      </c>
      <c r="D73" s="14" t="s">
        <v>139</v>
      </c>
      <c r="E73" s="14"/>
      <c r="F73" s="14"/>
      <c r="G73" s="14"/>
      <c r="H73" s="14"/>
      <c r="I73" s="14"/>
      <c r="J73" s="14"/>
      <c r="K73" s="14"/>
    </row>
    <row r="74" spans="1:11" ht="30" customHeight="1">
      <c r="A74" t="s">
        <v>140</v>
      </c>
      <c r="B74" s="8">
        <v>20</v>
      </c>
      <c r="C74" t="s">
        <v>19</v>
      </c>
      <c r="D74" s="14" t="s">
        <v>141</v>
      </c>
      <c r="E74" s="14"/>
      <c r="F74" s="14"/>
      <c r="G74" s="14"/>
      <c r="H74" s="14"/>
      <c r="I74" s="14"/>
      <c r="J74" s="14"/>
      <c r="K74" s="14"/>
    </row>
    <row r="75" spans="1:11" ht="30" customHeight="1">
      <c r="A75" t="s">
        <v>142</v>
      </c>
      <c r="B75" s="8">
        <v>1.2</v>
      </c>
      <c r="C75" t="s">
        <v>27</v>
      </c>
      <c r="D75" s="14" t="s">
        <v>143</v>
      </c>
      <c r="E75" s="14"/>
      <c r="F75" s="14"/>
      <c r="G75" s="14"/>
      <c r="H75" s="14"/>
      <c r="I75" s="14"/>
      <c r="J75" s="14"/>
      <c r="K75" s="14"/>
    </row>
    <row r="77" spans="1:11" ht="21" customHeight="1">
      <c r="A77" s="15" t="s">
        <v>144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</row>
    <row r="78" spans="1:11" ht="30" customHeight="1">
      <c r="A78" t="s">
        <v>145</v>
      </c>
      <c r="B78" s="9">
        <v>0.1</v>
      </c>
      <c r="C78" t="s">
        <v>30</v>
      </c>
      <c r="D78" s="14" t="s">
        <v>146</v>
      </c>
      <c r="E78" s="14"/>
      <c r="F78" s="14"/>
      <c r="G78" s="14"/>
      <c r="H78" s="14"/>
      <c r="I78" s="14"/>
      <c r="J78" s="14"/>
      <c r="K78" s="14"/>
    </row>
    <row r="79" spans="1:11" ht="30" customHeight="1">
      <c r="A79" t="s">
        <v>147</v>
      </c>
      <c r="B79" s="9">
        <v>0.1</v>
      </c>
      <c r="C79" t="s">
        <v>30</v>
      </c>
      <c r="D79" s="14" t="s">
        <v>148</v>
      </c>
      <c r="E79" s="14"/>
      <c r="F79" s="14"/>
      <c r="G79" s="14"/>
      <c r="H79" s="14"/>
      <c r="I79" s="14"/>
      <c r="J79" s="14"/>
      <c r="K79" s="14"/>
    </row>
    <row r="80" spans="1:11" ht="30" customHeight="1">
      <c r="A80" t="s">
        <v>149</v>
      </c>
      <c r="B80" s="8">
        <v>10</v>
      </c>
      <c r="C80" t="s">
        <v>150</v>
      </c>
      <c r="D80" s="14" t="s">
        <v>151</v>
      </c>
      <c r="E80" s="14"/>
      <c r="F80" s="14"/>
      <c r="G80" s="14"/>
      <c r="H80" s="14"/>
      <c r="I80" s="14"/>
      <c r="J80" s="14"/>
      <c r="K80" s="14"/>
    </row>
    <row r="81" spans="1:34" ht="30" customHeight="1">
      <c r="A81" t="s">
        <v>152</v>
      </c>
      <c r="B81" s="9">
        <v>0.1</v>
      </c>
      <c r="C81" t="s">
        <v>30</v>
      </c>
      <c r="D81" s="14" t="s">
        <v>153</v>
      </c>
      <c r="E81" s="14"/>
      <c r="F81" s="14"/>
      <c r="G81" s="14"/>
      <c r="H81" s="14"/>
      <c r="I81" s="14"/>
      <c r="J81" s="14"/>
      <c r="K81" s="14"/>
    </row>
    <row r="82" spans="1:34" ht="30" customHeight="1">
      <c r="A82" t="s">
        <v>154</v>
      </c>
      <c r="B82" s="7">
        <v>0</v>
      </c>
      <c r="C82" t="s">
        <v>155</v>
      </c>
      <c r="D82" s="14" t="s">
        <v>156</v>
      </c>
      <c r="E82" s="14"/>
      <c r="F82" s="14"/>
      <c r="G82" s="14"/>
      <c r="H82" s="14"/>
      <c r="I82" s="14"/>
      <c r="J82" s="14"/>
      <c r="K82" s="14"/>
    </row>
    <row r="85" spans="1:34" ht="21" customHeight="1">
      <c r="A85" s="15" t="s">
        <v>157</v>
      </c>
      <c r="B85" s="15"/>
      <c r="C85" s="15"/>
      <c r="D85" s="15"/>
      <c r="E85" s="15"/>
      <c r="F85" s="15"/>
      <c r="G85" s="15"/>
      <c r="H85" s="15"/>
    </row>
    <row r="87" spans="1:34" ht="21" customHeight="1">
      <c r="D87" s="5">
        <v>0</v>
      </c>
      <c r="E87" s="5">
        <v>1</v>
      </c>
      <c r="F87" s="5">
        <v>2</v>
      </c>
      <c r="G87" s="5">
        <v>3</v>
      </c>
      <c r="H87" s="5">
        <v>4</v>
      </c>
      <c r="I87" s="5">
        <v>5</v>
      </c>
      <c r="J87" s="5">
        <v>6</v>
      </c>
      <c r="K87" s="5">
        <v>7</v>
      </c>
      <c r="L87" s="5">
        <v>8</v>
      </c>
      <c r="M87" s="5">
        <v>9</v>
      </c>
      <c r="N87" s="5">
        <v>10</v>
      </c>
      <c r="O87" s="5">
        <v>11</v>
      </c>
      <c r="P87" s="5">
        <v>12</v>
      </c>
      <c r="Q87" s="5">
        <v>13</v>
      </c>
      <c r="R87" s="5">
        <v>14</v>
      </c>
      <c r="S87" s="5">
        <v>15</v>
      </c>
      <c r="T87" s="5">
        <v>16</v>
      </c>
      <c r="U87" s="5">
        <v>17</v>
      </c>
      <c r="V87" s="5">
        <v>18</v>
      </c>
      <c r="W87" s="5">
        <v>19</v>
      </c>
      <c r="X87" s="5">
        <v>20</v>
      </c>
      <c r="Y87" s="5">
        <v>21</v>
      </c>
      <c r="Z87" s="5">
        <v>22</v>
      </c>
      <c r="AA87" s="5">
        <v>23</v>
      </c>
      <c r="AB87" s="5">
        <v>24</v>
      </c>
      <c r="AC87" s="5">
        <v>25</v>
      </c>
      <c r="AD87" s="5">
        <v>26</v>
      </c>
      <c r="AE87" s="5">
        <v>27</v>
      </c>
      <c r="AF87" s="5">
        <v>28</v>
      </c>
      <c r="AG87" s="5">
        <v>29</v>
      </c>
      <c r="AH87" s="5">
        <v>30</v>
      </c>
    </row>
    <row r="88" spans="1:34" ht="21" customHeight="1">
      <c r="A88" t="s">
        <v>158</v>
      </c>
      <c r="B88" t="s">
        <v>159</v>
      </c>
      <c r="C88" t="s">
        <v>30</v>
      </c>
      <c r="D88" s="9">
        <v>0</v>
      </c>
      <c r="E88" s="9">
        <v>0.3</v>
      </c>
      <c r="F88" s="9">
        <v>0.4</v>
      </c>
      <c r="G88" s="9">
        <v>0.3</v>
      </c>
      <c r="H88" s="9">
        <v>0</v>
      </c>
      <c r="I88" s="9">
        <v>0</v>
      </c>
      <c r="J88" s="9">
        <v>0</v>
      </c>
      <c r="K88" s="9">
        <v>0</v>
      </c>
      <c r="L88" s="9">
        <v>0</v>
      </c>
      <c r="M88" s="9">
        <v>0</v>
      </c>
      <c r="N88" s="9">
        <v>0</v>
      </c>
      <c r="O88" s="9">
        <v>0</v>
      </c>
      <c r="P88" s="9">
        <v>0</v>
      </c>
      <c r="Q88" s="9">
        <v>0</v>
      </c>
      <c r="R88" s="9">
        <v>0</v>
      </c>
      <c r="S88" s="9">
        <v>0</v>
      </c>
      <c r="T88" s="9">
        <v>0</v>
      </c>
      <c r="U88" s="9">
        <v>0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9">
        <v>0</v>
      </c>
      <c r="AE88" s="9">
        <v>0</v>
      </c>
      <c r="AF88" s="9">
        <v>0</v>
      </c>
      <c r="AG88" s="9">
        <v>0</v>
      </c>
      <c r="AH88" s="9">
        <v>0</v>
      </c>
    </row>
    <row r="89" spans="1:34" ht="21" customHeight="1">
      <c r="A89" t="s">
        <v>160</v>
      </c>
      <c r="B89" t="s">
        <v>159</v>
      </c>
      <c r="C89" t="s">
        <v>30</v>
      </c>
      <c r="D89" s="9">
        <v>0</v>
      </c>
      <c r="E89" s="9">
        <v>0</v>
      </c>
      <c r="F89" s="9">
        <v>0</v>
      </c>
      <c r="G89" s="9">
        <v>0</v>
      </c>
      <c r="H89" s="9">
        <v>0.3</v>
      </c>
      <c r="I89" s="9">
        <v>0.4</v>
      </c>
      <c r="J89" s="9">
        <v>0.3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>
        <v>0</v>
      </c>
      <c r="AF89" s="9">
        <v>0</v>
      </c>
      <c r="AG89" s="9">
        <v>0</v>
      </c>
      <c r="AH89" s="9">
        <v>0</v>
      </c>
    </row>
    <row r="92" spans="1:34" ht="35.1" customHeight="1">
      <c r="A92" s="14" t="s">
        <v>161</v>
      </c>
      <c r="B92" s="14"/>
      <c r="C92" s="14"/>
      <c r="D92" s="14"/>
      <c r="E92" s="14"/>
      <c r="F92" s="14"/>
      <c r="G92" s="14"/>
      <c r="H92" s="14"/>
      <c r="I92" s="14"/>
      <c r="J92" s="14"/>
    </row>
  </sheetData>
  <mergeCells count="72">
    <mergeCell ref="D5:K5"/>
    <mergeCell ref="A6:K6"/>
    <mergeCell ref="D7:K7"/>
    <mergeCell ref="D8:K8"/>
    <mergeCell ref="D9:K9"/>
    <mergeCell ref="D10:K10"/>
    <mergeCell ref="D11:K11"/>
    <mergeCell ref="D12:K12"/>
    <mergeCell ref="D13:K13"/>
    <mergeCell ref="D14:K14"/>
    <mergeCell ref="D15:K15"/>
    <mergeCell ref="D16:K16"/>
    <mergeCell ref="D17:K17"/>
    <mergeCell ref="D18:K18"/>
    <mergeCell ref="A20:K20"/>
    <mergeCell ref="D21:K21"/>
    <mergeCell ref="D22:K22"/>
    <mergeCell ref="D23:K23"/>
    <mergeCell ref="D24:K24"/>
    <mergeCell ref="D25:K25"/>
    <mergeCell ref="D26:K26"/>
    <mergeCell ref="D27:K27"/>
    <mergeCell ref="D28:K28"/>
    <mergeCell ref="A30:K30"/>
    <mergeCell ref="D31:K31"/>
    <mergeCell ref="D32:K32"/>
    <mergeCell ref="D33:K33"/>
    <mergeCell ref="A35:K35"/>
    <mergeCell ref="D36:K36"/>
    <mergeCell ref="D37:K37"/>
    <mergeCell ref="D38:K38"/>
    <mergeCell ref="D39:K39"/>
    <mergeCell ref="D40:K40"/>
    <mergeCell ref="D41:K41"/>
    <mergeCell ref="D42:K42"/>
    <mergeCell ref="D43:K43"/>
    <mergeCell ref="D44:K44"/>
    <mergeCell ref="A46:K46"/>
    <mergeCell ref="D47:K47"/>
    <mergeCell ref="D48:K48"/>
    <mergeCell ref="D49:K49"/>
    <mergeCell ref="D50:K50"/>
    <mergeCell ref="D51:K51"/>
    <mergeCell ref="D52:K52"/>
    <mergeCell ref="D53:K53"/>
    <mergeCell ref="D54:K54"/>
    <mergeCell ref="A56:K56"/>
    <mergeCell ref="D57:K57"/>
    <mergeCell ref="D58:K58"/>
    <mergeCell ref="D59:K59"/>
    <mergeCell ref="D60:K60"/>
    <mergeCell ref="D61:K61"/>
    <mergeCell ref="A63:K63"/>
    <mergeCell ref="D64:K64"/>
    <mergeCell ref="D65:K65"/>
    <mergeCell ref="D66:K66"/>
    <mergeCell ref="A68:K68"/>
    <mergeCell ref="D69:K69"/>
    <mergeCell ref="D70:K70"/>
    <mergeCell ref="D71:K71"/>
    <mergeCell ref="D72:K72"/>
    <mergeCell ref="D73:K73"/>
    <mergeCell ref="D74:K74"/>
    <mergeCell ref="D75:K75"/>
    <mergeCell ref="A77:K77"/>
    <mergeCell ref="A85:H85"/>
    <mergeCell ref="A92:J92"/>
    <mergeCell ref="D78:K78"/>
    <mergeCell ref="D79:K79"/>
    <mergeCell ref="D80:K80"/>
    <mergeCell ref="D81:K81"/>
    <mergeCell ref="D82:K82"/>
  </mergeCells>
  <phoneticPr fontId="7" type="noConversion"/>
  <dataValidations count="12">
    <dataValidation type="whole" showInputMessage="1" showErrorMessage="1" errorTitle="请输入有效模拟参数" error="请遵守数值范围；粘贴后仍需检查看板校验。" sqref="B8" xr:uid="{00000000-0002-0000-0100-000000000000}">
      <formula1>1900</formula1>
      <formula2>2200</formula2>
    </dataValidation>
    <dataValidation type="whole" showInputMessage="1" showErrorMessage="1" errorTitle="请输入有效模拟参数" error="请遵守数值范围；粘贴后仍需检查看板校验。" sqref="B9 B59:B60 B16:B18" xr:uid="{00000000-0002-0000-0100-000001000000}">
      <formula1>1</formula1>
      <formula2>30</formula2>
    </dataValidation>
    <dataValidation type="decimal" showInputMessage="1" showErrorMessage="1" errorTitle="请输入有效模拟参数" error="请遵守数值范围；粘贴后仍需检查看板校验。" sqref="B10 B73:B75 B65 B61 B57 B50 B47 B36 B31 B28 B21:B26 B13" xr:uid="{00000000-0002-0000-0100-000002000000}">
      <formula1>0</formula1>
      <formula2>1000000000</formula2>
    </dataValidation>
    <dataValidation type="decimal" showInputMessage="1" showErrorMessage="1" errorTitle="请输入有效模拟参数" error="请遵守数值范围；粘贴后仍需检查看板校验。" sqref="B11" xr:uid="{00000000-0002-0000-0100-000003000000}">
      <formula1>0.01</formula1>
      <formula2>20</formula2>
    </dataValidation>
    <dataValidation type="decimal" showInputMessage="1" showErrorMessage="1" errorTitle="请输入有效模拟参数" error="请遵守数值范围；粘贴后仍需检查看板校验。" sqref="B12 B81 B78:B79 B69:B72 B66 B58 B54 B51:B52 B49 B43:B44 B38:B41 B32:B33 B27" xr:uid="{00000000-0002-0000-0100-000004000000}">
      <formula1>0</formula1>
      <formula2>1</formula2>
    </dataValidation>
    <dataValidation type="decimal" showInputMessage="1" showErrorMessage="1" errorTitle="请输入有效模拟参数" error="请遵守数值范围；粘贴后仍需检查看板校验。" sqref="B14" xr:uid="{00000000-0002-0000-0100-000006000000}">
      <formula1>0.001</formula1>
      <formula2>0.999</formula2>
    </dataValidation>
    <dataValidation type="decimal" showInputMessage="1" showErrorMessage="1" errorTitle="请输入有效模拟参数" error="请遵守数值范围；粘贴后仍需检查看板校验。" sqref="B37 B48" xr:uid="{00000000-0002-0000-0100-000016000000}">
      <formula1>-0.5</formula1>
      <formula2>1</formula2>
    </dataValidation>
    <dataValidation type="whole" showInputMessage="1" showErrorMessage="1" errorTitle="请输入有效模拟参数" error="请遵守数值范围；粘贴后仍需检查看板校验。" sqref="B42" xr:uid="{00000000-0002-0000-0100-00001B000000}">
      <formula1>0</formula1>
      <formula2>12</formula2>
    </dataValidation>
    <dataValidation type="whole" showInputMessage="1" showErrorMessage="1" errorTitle="请输入有效模拟参数" error="请遵守数值范围；粘贴后仍需检查看板校验。" sqref="B53" xr:uid="{00000000-0002-0000-0100-000024000000}">
      <formula1>1</formula1>
      <formula2>100</formula2>
    </dataValidation>
    <dataValidation type="whole" showInputMessage="1" showErrorMessage="1" errorTitle="请输入有效模拟参数" error="请遵守数值范围；粘贴后仍需检查看板校验。" sqref="B64 B82" xr:uid="{00000000-0002-0000-0100-00002B000000}">
      <formula1>0</formula1>
      <formula2>1</formula2>
    </dataValidation>
    <dataValidation type="decimal" showInputMessage="1" showErrorMessage="1" errorTitle="请输入有效模拟参数" error="请遵守数值范围；粘贴后仍需检查看板校验。" sqref="B80" xr:uid="{00000000-0002-0000-0100-000037000000}">
      <formula1>0</formula1>
      <formula2>100</formula2>
    </dataValidation>
    <dataValidation type="decimal" showInputMessage="1" showErrorMessage="1" sqref="D88:AH89" xr:uid="{00000000-0002-0000-0100-00003A000000}">
      <formula1>0</formula1>
      <formula2>1</formula2>
    </dataValidation>
  </dataValidations>
  <pageMargins left="0.25" right="0.25" top="0.4" bottom="0.4" header="0.3" footer="0.3"/>
  <pageSetup paperSize="9" scale="21" fitToHeight="0" orientation="landscape" r:id="rId1"/>
  <headerFooter>
    <oddFooter>&amp;L模拟数据 · 学习用途&amp;C&amp;P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AH109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48.75" style="11" customWidth="1"/>
    <col min="2" max="2" width="17.75" style="1" customWidth="1"/>
    <col min="3" max="3" width="12.75" style="11" customWidth="1"/>
    <col min="4" max="34" width="15.75" style="1" customWidth="1"/>
  </cols>
  <sheetData>
    <row r="2" spans="1:34" ht="29.1" customHeight="1">
      <c r="A2" s="2" t="s">
        <v>2</v>
      </c>
    </row>
    <row r="4" spans="1:34" ht="21" customHeight="1">
      <c r="A4" s="5" t="s">
        <v>162</v>
      </c>
      <c r="D4" s="5">
        <f>核心参数输入!D87</f>
        <v>0</v>
      </c>
      <c r="E4" s="5">
        <f>核心参数输入!E87</f>
        <v>1</v>
      </c>
      <c r="F4" s="5">
        <f>核心参数输入!F87</f>
        <v>2</v>
      </c>
      <c r="G4" s="5">
        <f>核心参数输入!G87</f>
        <v>3</v>
      </c>
      <c r="H4" s="5">
        <f>核心参数输入!H87</f>
        <v>4</v>
      </c>
      <c r="I4" s="5">
        <f>核心参数输入!I87</f>
        <v>5</v>
      </c>
      <c r="J4" s="5">
        <f>核心参数输入!J87</f>
        <v>6</v>
      </c>
      <c r="K4" s="5">
        <f>核心参数输入!K87</f>
        <v>7</v>
      </c>
      <c r="L4" s="5">
        <f>核心参数输入!L87</f>
        <v>8</v>
      </c>
      <c r="M4" s="5">
        <f>核心参数输入!M87</f>
        <v>9</v>
      </c>
      <c r="N4" s="5">
        <f>核心参数输入!N87</f>
        <v>10</v>
      </c>
      <c r="O4" s="5">
        <f>核心参数输入!O87</f>
        <v>11</v>
      </c>
      <c r="P4" s="5">
        <f>核心参数输入!P87</f>
        <v>12</v>
      </c>
      <c r="Q4" s="5">
        <f>核心参数输入!Q87</f>
        <v>13</v>
      </c>
      <c r="R4" s="5">
        <f>核心参数输入!R87</f>
        <v>14</v>
      </c>
      <c r="S4" s="5">
        <f>核心参数输入!S87</f>
        <v>15</v>
      </c>
      <c r="T4" s="5">
        <f>核心参数输入!T87</f>
        <v>16</v>
      </c>
      <c r="U4" s="5">
        <f>核心参数输入!U87</f>
        <v>17</v>
      </c>
      <c r="V4" s="5">
        <f>核心参数输入!V87</f>
        <v>18</v>
      </c>
      <c r="W4" s="5">
        <f>核心参数输入!W87</f>
        <v>19</v>
      </c>
      <c r="X4" s="5">
        <f>核心参数输入!X87</f>
        <v>20</v>
      </c>
      <c r="Y4" s="5">
        <f>核心参数输入!Y87</f>
        <v>21</v>
      </c>
      <c r="Z4" s="5">
        <f>核心参数输入!Z87</f>
        <v>22</v>
      </c>
      <c r="AA4" s="5">
        <f>核心参数输入!AA87</f>
        <v>23</v>
      </c>
      <c r="AB4" s="5">
        <f>核心参数输入!AB87</f>
        <v>24</v>
      </c>
      <c r="AC4" s="5">
        <f>核心参数输入!AC87</f>
        <v>25</v>
      </c>
      <c r="AD4" s="5">
        <f>核心参数输入!AD87</f>
        <v>26</v>
      </c>
      <c r="AE4" s="5">
        <f>核心参数输入!AE87</f>
        <v>27</v>
      </c>
      <c r="AF4" s="5">
        <f>核心参数输入!AF87</f>
        <v>28</v>
      </c>
      <c r="AG4" s="5">
        <f>核心参数输入!AG87</f>
        <v>29</v>
      </c>
      <c r="AH4" s="5">
        <f>核心参数输入!AH87</f>
        <v>30</v>
      </c>
    </row>
    <row r="5" spans="1:34" ht="21" customHeight="1">
      <c r="D5" s="12">
        <f>核心参数输入!$B$8+D4</f>
        <v>2026</v>
      </c>
      <c r="E5" s="12">
        <f>核心参数输入!$B$8+E4</f>
        <v>2027</v>
      </c>
      <c r="F5" s="12">
        <f>核心参数输入!$B$8+F4</f>
        <v>2028</v>
      </c>
      <c r="G5" s="12">
        <f>核心参数输入!$B$8+G4</f>
        <v>2029</v>
      </c>
      <c r="H5" s="12">
        <f>核心参数输入!$B$8+H4</f>
        <v>2030</v>
      </c>
      <c r="I5" s="12">
        <f>核心参数输入!$B$8+I4</f>
        <v>2031</v>
      </c>
      <c r="J5" s="12">
        <f>核心参数输入!$B$8+J4</f>
        <v>2032</v>
      </c>
      <c r="K5" s="12">
        <f>核心参数输入!$B$8+K4</f>
        <v>2033</v>
      </c>
      <c r="L5" s="12">
        <f>核心参数输入!$B$8+L4</f>
        <v>2034</v>
      </c>
      <c r="M5" s="12">
        <f>核心参数输入!$B$8+M4</f>
        <v>2035</v>
      </c>
      <c r="N5" s="12">
        <f>核心参数输入!$B$8+N4</f>
        <v>2036</v>
      </c>
      <c r="O5" s="12">
        <f>核心参数输入!$B$8+O4</f>
        <v>2037</v>
      </c>
      <c r="P5" s="12">
        <f>核心参数输入!$B$8+P4</f>
        <v>2038</v>
      </c>
      <c r="Q5" s="12">
        <f>核心参数输入!$B$8+Q4</f>
        <v>2039</v>
      </c>
      <c r="R5" s="12">
        <f>核心参数输入!$B$8+R4</f>
        <v>2040</v>
      </c>
      <c r="S5" s="12">
        <f>核心参数输入!$B$8+S4</f>
        <v>2041</v>
      </c>
      <c r="T5" s="12">
        <f>核心参数输入!$B$8+T4</f>
        <v>2042</v>
      </c>
      <c r="U5" s="12">
        <f>核心参数输入!$B$8+U4</f>
        <v>2043</v>
      </c>
      <c r="V5" s="12">
        <f>核心参数输入!$B$8+V4</f>
        <v>2044</v>
      </c>
      <c r="W5" s="12">
        <f>核心参数输入!$B$8+W4</f>
        <v>2045</v>
      </c>
      <c r="X5" s="12">
        <f>核心参数输入!$B$8+X4</f>
        <v>2046</v>
      </c>
      <c r="Y5" s="12">
        <f>核心参数输入!$B$8+Y4</f>
        <v>2047</v>
      </c>
      <c r="Z5" s="12">
        <f>核心参数输入!$B$8+Z4</f>
        <v>2048</v>
      </c>
      <c r="AA5" s="12">
        <f>核心参数输入!$B$8+AA4</f>
        <v>2049</v>
      </c>
      <c r="AB5" s="12">
        <f>核心参数输入!$B$8+AB4</f>
        <v>2050</v>
      </c>
      <c r="AC5" s="12">
        <f>核心参数输入!$B$8+AC4</f>
        <v>2051</v>
      </c>
      <c r="AD5" s="12">
        <f>核心参数输入!$B$8+AD4</f>
        <v>2052</v>
      </c>
      <c r="AE5" s="12">
        <f>核心参数输入!$B$8+AE4</f>
        <v>2053</v>
      </c>
      <c r="AF5" s="12">
        <f>核心参数输入!$B$8+AF4</f>
        <v>2054</v>
      </c>
      <c r="AG5" s="12">
        <f>核心参数输入!$B$8+AG4</f>
        <v>2055</v>
      </c>
      <c r="AH5" s="12">
        <f>核心参数输入!$B$8+AH4</f>
        <v>2056</v>
      </c>
    </row>
    <row r="6" spans="1:34" ht="21" customHeight="1">
      <c r="A6" s="11" t="s">
        <v>23</v>
      </c>
      <c r="B6" s="1">
        <f>核心参数输入!$B$10</f>
        <v>100000</v>
      </c>
      <c r="C6" s="11" t="s">
        <v>24</v>
      </c>
    </row>
    <row r="7" spans="1:34" ht="21" customHeight="1">
      <c r="A7" s="11" t="s">
        <v>163</v>
      </c>
      <c r="B7" s="1">
        <f>核心参数输入!$B$10*核心参数输入!$B$11</f>
        <v>150000</v>
      </c>
      <c r="C7" s="11" t="s">
        <v>24</v>
      </c>
    </row>
    <row r="8" spans="1:34" ht="21" customHeight="1">
      <c r="A8" s="11" t="s">
        <v>164</v>
      </c>
      <c r="B8" s="1">
        <f>$B$7*核心参数输入!$B$12</f>
        <v>135000</v>
      </c>
      <c r="C8" s="11" t="s">
        <v>24</v>
      </c>
    </row>
    <row r="9" spans="1:34" ht="21" customHeight="1">
      <c r="A9" s="11" t="s">
        <v>165</v>
      </c>
      <c r="B9" s="1">
        <f>$B$8*核心参数输入!$B$14</f>
        <v>74250</v>
      </c>
      <c r="C9" s="11" t="s">
        <v>24</v>
      </c>
    </row>
    <row r="10" spans="1:34" ht="21" customHeight="1">
      <c r="A10" s="11" t="s">
        <v>166</v>
      </c>
      <c r="B10" s="1">
        <f>$B$8*核心参数输入!$B$15</f>
        <v>60749.999999999993</v>
      </c>
      <c r="C10" s="11" t="s">
        <v>24</v>
      </c>
    </row>
    <row r="11" spans="1:34" ht="21" customHeight="1">
      <c r="A11" s="11" t="s">
        <v>32</v>
      </c>
      <c r="B11" s="1">
        <f>核心参数输入!$B$13</f>
        <v>15000</v>
      </c>
      <c r="C11" s="11" t="s">
        <v>24</v>
      </c>
    </row>
    <row r="18" spans="1:34" ht="24.95" customHeight="1">
      <c r="A18" s="15" t="s">
        <v>167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</row>
    <row r="20" spans="1:34" ht="21" customHeight="1">
      <c r="A20" s="11" t="s">
        <v>168</v>
      </c>
      <c r="B20" s="11" t="s">
        <v>30</v>
      </c>
      <c r="D20" s="10">
        <f>IF(D$4&lt;=核心参数输入!$B$9,IF(AND(D$4&gt;=1,D$4&lt;=核心参数输入!$B$16),核心参数输入!D88,0),0)</f>
        <v>0</v>
      </c>
      <c r="E20" s="10">
        <f>IF(E$4&lt;=核心参数输入!$B$9,IF(AND(E$4&gt;=1,E$4&lt;=核心参数输入!$B$16),核心参数输入!E88,0),0)</f>
        <v>0.3</v>
      </c>
      <c r="F20" s="10">
        <f>IF(F$4&lt;=核心参数输入!$B$9,IF(AND(F$4&gt;=1,F$4&lt;=核心参数输入!$B$16),核心参数输入!F88,0),0)</f>
        <v>0.4</v>
      </c>
      <c r="G20" s="10">
        <f>IF(G$4&lt;=核心参数输入!$B$9,IF(AND(G$4&gt;=1,G$4&lt;=核心参数输入!$B$16),核心参数输入!G88,0),0)</f>
        <v>0.3</v>
      </c>
      <c r="H20" s="10">
        <f>IF(H$4&lt;=核心参数输入!$B$9,IF(AND(H$4&gt;=1,H$4&lt;=核心参数输入!$B$16),核心参数输入!H88,0),0)</f>
        <v>0</v>
      </c>
      <c r="I20" s="10">
        <f>IF(I$4&lt;=核心参数输入!$B$9,IF(AND(I$4&gt;=1,I$4&lt;=核心参数输入!$B$16),核心参数输入!I88,0),0)</f>
        <v>0</v>
      </c>
      <c r="J20" s="10">
        <f>IF(J$4&lt;=核心参数输入!$B$9,IF(AND(J$4&gt;=1,J$4&lt;=核心参数输入!$B$16),核心参数输入!J88,0),0)</f>
        <v>0</v>
      </c>
      <c r="K20" s="10">
        <f>IF(K$4&lt;=核心参数输入!$B$9,IF(AND(K$4&gt;=1,K$4&lt;=核心参数输入!$B$16),核心参数输入!K88,0),0)</f>
        <v>0</v>
      </c>
      <c r="L20" s="10">
        <f>IF(L$4&lt;=核心参数输入!$B$9,IF(AND(L$4&gt;=1,L$4&lt;=核心参数输入!$B$16),核心参数输入!L88,0),0)</f>
        <v>0</v>
      </c>
      <c r="M20" s="10">
        <f>IF(M$4&lt;=核心参数输入!$B$9,IF(AND(M$4&gt;=1,M$4&lt;=核心参数输入!$B$16),核心参数输入!M88,0),0)</f>
        <v>0</v>
      </c>
      <c r="N20" s="10">
        <f>IF(N$4&lt;=核心参数输入!$B$9,IF(AND(N$4&gt;=1,N$4&lt;=核心参数输入!$B$16),核心参数输入!N88,0),0)</f>
        <v>0</v>
      </c>
      <c r="O20" s="10">
        <f>IF(O$4&lt;=核心参数输入!$B$9,IF(AND(O$4&gt;=1,O$4&lt;=核心参数输入!$B$16),核心参数输入!O88,0),0)</f>
        <v>0</v>
      </c>
      <c r="P20" s="10">
        <f>IF(P$4&lt;=核心参数输入!$B$9,IF(AND(P$4&gt;=1,P$4&lt;=核心参数输入!$B$16),核心参数输入!P88,0),0)</f>
        <v>0</v>
      </c>
      <c r="Q20" s="10">
        <f>IF(Q$4&lt;=核心参数输入!$B$9,IF(AND(Q$4&gt;=1,Q$4&lt;=核心参数输入!$B$16),核心参数输入!Q88,0),0)</f>
        <v>0</v>
      </c>
      <c r="R20" s="10">
        <f>IF(R$4&lt;=核心参数输入!$B$9,IF(AND(R$4&gt;=1,R$4&lt;=核心参数输入!$B$16),核心参数输入!R88,0),0)</f>
        <v>0</v>
      </c>
      <c r="S20" s="10">
        <f>IF(S$4&lt;=核心参数输入!$B$9,IF(AND(S$4&gt;=1,S$4&lt;=核心参数输入!$B$16),核心参数输入!S88,0),0)</f>
        <v>0</v>
      </c>
      <c r="T20" s="10">
        <f>IF(T$4&lt;=核心参数输入!$B$9,IF(AND(T$4&gt;=1,T$4&lt;=核心参数输入!$B$16),核心参数输入!T88,0),0)</f>
        <v>0</v>
      </c>
      <c r="U20" s="10">
        <f>IF(U$4&lt;=核心参数输入!$B$9,IF(AND(U$4&gt;=1,U$4&lt;=核心参数输入!$B$16),核心参数输入!U88,0),0)</f>
        <v>0</v>
      </c>
      <c r="V20" s="10">
        <f>IF(V$4&lt;=核心参数输入!$B$9,IF(AND(V$4&gt;=1,V$4&lt;=核心参数输入!$B$16),核心参数输入!V88,0),0)</f>
        <v>0</v>
      </c>
      <c r="W20" s="10">
        <f>IF(W$4&lt;=核心参数输入!$B$9,IF(AND(W$4&gt;=1,W$4&lt;=核心参数输入!$B$16),核心参数输入!W88,0),0)</f>
        <v>0</v>
      </c>
      <c r="X20" s="10">
        <f>IF(X$4&lt;=核心参数输入!$B$9,IF(AND(X$4&gt;=1,X$4&lt;=核心参数输入!$B$16),核心参数输入!X88,0),0)</f>
        <v>0</v>
      </c>
      <c r="Y20" s="10">
        <f>IF(Y$4&lt;=核心参数输入!$B$9,IF(AND(Y$4&gt;=1,Y$4&lt;=核心参数输入!$B$16),核心参数输入!Y88,0),0)</f>
        <v>0</v>
      </c>
      <c r="Z20" s="10">
        <f>IF(Z$4&lt;=核心参数输入!$B$9,IF(AND(Z$4&gt;=1,Z$4&lt;=核心参数输入!$B$16),核心参数输入!Z88,0),0)</f>
        <v>0</v>
      </c>
      <c r="AA20" s="10">
        <f>IF(AA$4&lt;=核心参数输入!$B$9,IF(AND(AA$4&gt;=1,AA$4&lt;=核心参数输入!$B$16),核心参数输入!AA88,0),0)</f>
        <v>0</v>
      </c>
      <c r="AB20" s="10">
        <f>IF(AB$4&lt;=核心参数输入!$B$9,IF(AND(AB$4&gt;=1,AB$4&lt;=核心参数输入!$B$16),核心参数输入!AB88,0),0)</f>
        <v>0</v>
      </c>
      <c r="AC20" s="10">
        <f>IF(AC$4&lt;=核心参数输入!$B$9,IF(AND(AC$4&gt;=1,AC$4&lt;=核心参数输入!$B$16),核心参数输入!AC88,0),0)</f>
        <v>0</v>
      </c>
      <c r="AD20" s="10">
        <f>IF(AD$4&lt;=核心参数输入!$B$9,IF(AND(AD$4&gt;=1,AD$4&lt;=核心参数输入!$B$16),核心参数输入!AD88,0),0)</f>
        <v>0</v>
      </c>
      <c r="AE20" s="10">
        <f>IF(AE$4&lt;=核心参数输入!$B$9,IF(AND(AE$4&gt;=1,AE$4&lt;=核心参数输入!$B$16),核心参数输入!AE88,0),0)</f>
        <v>0</v>
      </c>
      <c r="AF20" s="10">
        <f>IF(AF$4&lt;=核心参数输入!$B$9,IF(AND(AF$4&gt;=1,AF$4&lt;=核心参数输入!$B$16),核心参数输入!AF88,0),0)</f>
        <v>0</v>
      </c>
      <c r="AG20" s="10">
        <f>IF(AG$4&lt;=核心参数输入!$B$9,IF(AND(AG$4&gt;=1,AG$4&lt;=核心参数输入!$B$16),核心参数输入!AG88,0),0)</f>
        <v>0</v>
      </c>
      <c r="AH20" s="10">
        <f>IF(AH$4&lt;=核心参数输入!$B$9,IF(AND(AH$4&gt;=1,AH$4&lt;=核心参数输入!$B$16),核心参数输入!AH88,0),0)</f>
        <v>0</v>
      </c>
    </row>
    <row r="21" spans="1:34" ht="21" customHeight="1">
      <c r="A21" s="11" t="s">
        <v>169</v>
      </c>
      <c r="B21" s="11" t="s">
        <v>30</v>
      </c>
      <c r="D21" s="10">
        <f>IF(D$4&lt;=核心参数输入!$B$9,IF(D$4&gt;=核心参数输入!$B$17,核心参数输入!D89,0),0)</f>
        <v>0</v>
      </c>
      <c r="E21" s="10">
        <f>IF(E$4&lt;=核心参数输入!$B$9,IF(E$4&gt;=核心参数输入!$B$17,核心参数输入!E89,0),0)</f>
        <v>0</v>
      </c>
      <c r="F21" s="10">
        <f>IF(F$4&lt;=核心参数输入!$B$9,IF(F$4&gt;=核心参数输入!$B$17,核心参数输入!F89,0),0)</f>
        <v>0</v>
      </c>
      <c r="G21" s="10">
        <f>IF(G$4&lt;=核心参数输入!$B$9,IF(G$4&gt;=核心参数输入!$B$17,核心参数输入!G89,0),0)</f>
        <v>0</v>
      </c>
      <c r="H21" s="10">
        <f>IF(H$4&lt;=核心参数输入!$B$9,IF(H$4&gt;=核心参数输入!$B$17,核心参数输入!H89,0),0)</f>
        <v>0.3</v>
      </c>
      <c r="I21" s="10">
        <f>IF(I$4&lt;=核心参数输入!$B$9,IF(I$4&gt;=核心参数输入!$B$17,核心参数输入!I89,0),0)</f>
        <v>0.4</v>
      </c>
      <c r="J21" s="10">
        <f>IF(J$4&lt;=核心参数输入!$B$9,IF(J$4&gt;=核心参数输入!$B$17,核心参数输入!J89,0),0)</f>
        <v>0.3</v>
      </c>
      <c r="K21" s="10">
        <f>IF(K$4&lt;=核心参数输入!$B$9,IF(K$4&gt;=核心参数输入!$B$17,核心参数输入!K89,0),0)</f>
        <v>0</v>
      </c>
      <c r="L21" s="10">
        <f>IF(L$4&lt;=核心参数输入!$B$9,IF(L$4&gt;=核心参数输入!$B$17,核心参数输入!L89,0),0)</f>
        <v>0</v>
      </c>
      <c r="M21" s="10">
        <f>IF(M$4&lt;=核心参数输入!$B$9,IF(M$4&gt;=核心参数输入!$B$17,核心参数输入!M89,0),0)</f>
        <v>0</v>
      </c>
      <c r="N21" s="10">
        <f>IF(N$4&lt;=核心参数输入!$B$9,IF(N$4&gt;=核心参数输入!$B$17,核心参数输入!N89,0),0)</f>
        <v>0</v>
      </c>
      <c r="O21" s="10">
        <f>IF(O$4&lt;=核心参数输入!$B$9,IF(O$4&gt;=核心参数输入!$B$17,核心参数输入!O89,0),0)</f>
        <v>0</v>
      </c>
      <c r="P21" s="10">
        <f>IF(P$4&lt;=核心参数输入!$B$9,IF(P$4&gt;=核心参数输入!$B$17,核心参数输入!P89,0),0)</f>
        <v>0</v>
      </c>
      <c r="Q21" s="10">
        <f>IF(Q$4&lt;=核心参数输入!$B$9,IF(Q$4&gt;=核心参数输入!$B$17,核心参数输入!Q89,0),0)</f>
        <v>0</v>
      </c>
      <c r="R21" s="10">
        <f>IF(R$4&lt;=核心参数输入!$B$9,IF(R$4&gt;=核心参数输入!$B$17,核心参数输入!R89,0),0)</f>
        <v>0</v>
      </c>
      <c r="S21" s="10">
        <f>IF(S$4&lt;=核心参数输入!$B$9,IF(S$4&gt;=核心参数输入!$B$17,核心参数输入!S89,0),0)</f>
        <v>0</v>
      </c>
      <c r="T21" s="10">
        <f>IF(T$4&lt;=核心参数输入!$B$9,IF(T$4&gt;=核心参数输入!$B$17,核心参数输入!T89,0),0)</f>
        <v>0</v>
      </c>
      <c r="U21" s="10">
        <f>IF(U$4&lt;=核心参数输入!$B$9,IF(U$4&gt;=核心参数输入!$B$17,核心参数输入!U89,0),0)</f>
        <v>0</v>
      </c>
      <c r="V21" s="10">
        <f>IF(V$4&lt;=核心参数输入!$B$9,IF(V$4&gt;=核心参数输入!$B$17,核心参数输入!V89,0),0)</f>
        <v>0</v>
      </c>
      <c r="W21" s="10">
        <f>IF(W$4&lt;=核心参数输入!$B$9,IF(W$4&gt;=核心参数输入!$B$17,核心参数输入!W89,0),0)</f>
        <v>0</v>
      </c>
      <c r="X21" s="10">
        <f>IF(X$4&lt;=核心参数输入!$B$9,IF(X$4&gt;=核心参数输入!$B$17,核心参数输入!X89,0),0)</f>
        <v>0</v>
      </c>
      <c r="Y21" s="10">
        <f>IF(Y$4&lt;=核心参数输入!$B$9,IF(Y$4&gt;=核心参数输入!$B$17,核心参数输入!Y89,0),0)</f>
        <v>0</v>
      </c>
      <c r="Z21" s="10">
        <f>IF(Z$4&lt;=核心参数输入!$B$9,IF(Z$4&gt;=核心参数输入!$B$17,核心参数输入!Z89,0),0)</f>
        <v>0</v>
      </c>
      <c r="AA21" s="10">
        <f>IF(AA$4&lt;=核心参数输入!$B$9,IF(AA$4&gt;=核心参数输入!$B$17,核心参数输入!AA89,0),0)</f>
        <v>0</v>
      </c>
      <c r="AB21" s="10">
        <f>IF(AB$4&lt;=核心参数输入!$B$9,IF(AB$4&gt;=核心参数输入!$B$17,核心参数输入!AB89,0),0)</f>
        <v>0</v>
      </c>
      <c r="AC21" s="10">
        <f>IF(AC$4&lt;=核心参数输入!$B$9,IF(AC$4&gt;=核心参数输入!$B$17,核心参数输入!AC89,0),0)</f>
        <v>0</v>
      </c>
      <c r="AD21" s="10">
        <f>IF(AD$4&lt;=核心参数输入!$B$9,IF(AD$4&gt;=核心参数输入!$B$17,核心参数输入!AD89,0),0)</f>
        <v>0</v>
      </c>
      <c r="AE21" s="10">
        <f>IF(AE$4&lt;=核心参数输入!$B$9,IF(AE$4&gt;=核心参数输入!$B$17,核心参数输入!AE89,0),0)</f>
        <v>0</v>
      </c>
      <c r="AF21" s="10">
        <f>IF(AF$4&lt;=核心参数输入!$B$9,IF(AF$4&gt;=核心参数输入!$B$17,核心参数输入!AF89,0),0)</f>
        <v>0</v>
      </c>
      <c r="AG21" s="10">
        <f>IF(AG$4&lt;=核心参数输入!$B$9,IF(AG$4&gt;=核心参数输入!$B$17,核心参数输入!AG89,0),0)</f>
        <v>0</v>
      </c>
      <c r="AH21" s="10">
        <f>IF(AH$4&lt;=核心参数输入!$B$9,IF(AH$4&gt;=核心参数输入!$B$17,核心参数输入!AH89,0),0)</f>
        <v>0</v>
      </c>
    </row>
    <row r="22" spans="1:34" ht="21" customHeight="1">
      <c r="A22" s="11" t="s">
        <v>170</v>
      </c>
      <c r="B22" s="11" t="s">
        <v>30</v>
      </c>
      <c r="D22" s="10">
        <f>IF(D$4&lt;=核心参数输入!$B$9,SUM($D21:D21),0)</f>
        <v>0</v>
      </c>
      <c r="E22" s="10">
        <f>IF(E$4&lt;=核心参数输入!$B$9,SUM($D21:E21),0)</f>
        <v>0</v>
      </c>
      <c r="F22" s="10">
        <f>IF(F$4&lt;=核心参数输入!$B$9,SUM($D21:F21),0)</f>
        <v>0</v>
      </c>
      <c r="G22" s="10">
        <f>IF(G$4&lt;=核心参数输入!$B$9,SUM($D21:G21),0)</f>
        <v>0</v>
      </c>
      <c r="H22" s="10">
        <f>IF(H$4&lt;=核心参数输入!$B$9,SUM($D21:H21),0)</f>
        <v>0.3</v>
      </c>
      <c r="I22" s="10">
        <f>IF(I$4&lt;=核心参数输入!$B$9,SUM($D21:I21),0)</f>
        <v>0.7</v>
      </c>
      <c r="J22" s="10">
        <f>IF(J$4&lt;=核心参数输入!$B$9,SUM($D21:J21),0)</f>
        <v>1</v>
      </c>
      <c r="K22" s="10">
        <f>IF(K$4&lt;=核心参数输入!$B$9,SUM($D21:K21),0)</f>
        <v>1</v>
      </c>
      <c r="L22" s="10">
        <f>IF(L$4&lt;=核心参数输入!$B$9,SUM($D21:L21),0)</f>
        <v>1</v>
      </c>
      <c r="M22" s="10">
        <f>IF(M$4&lt;=核心参数输入!$B$9,SUM($D21:M21),0)</f>
        <v>1</v>
      </c>
      <c r="N22" s="10">
        <f>IF(N$4&lt;=核心参数输入!$B$9,SUM($D21:N21),0)</f>
        <v>1</v>
      </c>
      <c r="O22" s="10">
        <f>IF(O$4&lt;=核心参数输入!$B$9,SUM($D21:O21),0)</f>
        <v>1</v>
      </c>
      <c r="P22" s="10">
        <f>IF(P$4&lt;=核心参数输入!$B$9,SUM($D21:P21),0)</f>
        <v>1</v>
      </c>
      <c r="Q22" s="10">
        <f>IF(Q$4&lt;=核心参数输入!$B$9,SUM($D21:Q21),0)</f>
        <v>1</v>
      </c>
      <c r="R22" s="10">
        <f>IF(R$4&lt;=核心参数输入!$B$9,SUM($D21:R21),0)</f>
        <v>1</v>
      </c>
      <c r="S22" s="10">
        <f>IF(S$4&lt;=核心参数输入!$B$9,SUM($D21:S21),0)</f>
        <v>1</v>
      </c>
      <c r="T22" s="10">
        <f>IF(T$4&lt;=核心参数输入!$B$9,SUM($D21:T21),0)</f>
        <v>1</v>
      </c>
      <c r="U22" s="10">
        <f>IF(U$4&lt;=核心参数输入!$B$9,SUM($D21:U21),0)</f>
        <v>1</v>
      </c>
      <c r="V22" s="10">
        <f>IF(V$4&lt;=核心参数输入!$B$9,SUM($D21:V21),0)</f>
        <v>1</v>
      </c>
      <c r="W22" s="10">
        <f>IF(W$4&lt;=核心参数输入!$B$9,SUM($D21:W21),0)</f>
        <v>1</v>
      </c>
      <c r="X22" s="10">
        <f>IF(X$4&lt;=核心参数输入!$B$9,SUM($D21:X21),0)</f>
        <v>1</v>
      </c>
      <c r="Y22" s="10">
        <f>IF(Y$4&lt;=核心参数输入!$B$9,SUM($D21:Y21),0)</f>
        <v>0</v>
      </c>
      <c r="Z22" s="10">
        <f>IF(Z$4&lt;=核心参数输入!$B$9,SUM($D21:Z21),0)</f>
        <v>0</v>
      </c>
      <c r="AA22" s="10">
        <f>IF(AA$4&lt;=核心参数输入!$B$9,SUM($D21:AA21),0)</f>
        <v>0</v>
      </c>
      <c r="AB22" s="10">
        <f>IF(AB$4&lt;=核心参数输入!$B$9,SUM($D21:AB21),0)</f>
        <v>0</v>
      </c>
      <c r="AC22" s="10">
        <f>IF(AC$4&lt;=核心参数输入!$B$9,SUM($D21:AC21),0)</f>
        <v>0</v>
      </c>
      <c r="AD22" s="10">
        <f>IF(AD$4&lt;=核心参数输入!$B$9,SUM($D21:AD21),0)</f>
        <v>0</v>
      </c>
      <c r="AE22" s="10">
        <f>IF(AE$4&lt;=核心参数输入!$B$9,SUM($D21:AE21),0)</f>
        <v>0</v>
      </c>
      <c r="AF22" s="10">
        <f>IF(AF$4&lt;=核心参数输入!$B$9,SUM($D21:AF21),0)</f>
        <v>0</v>
      </c>
      <c r="AG22" s="10">
        <f>IF(AG$4&lt;=核心参数输入!$B$9,SUM($D21:AG21),0)</f>
        <v>0</v>
      </c>
      <c r="AH22" s="10">
        <f>IF(AH$4&lt;=核心参数输入!$B$9,SUM($D21:AH21),0)</f>
        <v>0</v>
      </c>
    </row>
    <row r="23" spans="1:34" ht="21" customHeight="1">
      <c r="A23" s="11" t="s">
        <v>171</v>
      </c>
      <c r="B23" s="11" t="s">
        <v>24</v>
      </c>
      <c r="D23" s="1">
        <f>IF(D$4&lt;=核心参数输入!$B$9,D21*$B$9,0)</f>
        <v>0</v>
      </c>
      <c r="E23" s="1">
        <f>IF(E$4&lt;=核心参数输入!$B$9,E21*$B$9,0)</f>
        <v>0</v>
      </c>
      <c r="F23" s="1">
        <f>IF(F$4&lt;=核心参数输入!$B$9,F21*$B$9,0)</f>
        <v>0</v>
      </c>
      <c r="G23" s="1">
        <f>IF(G$4&lt;=核心参数输入!$B$9,G21*$B$9,0)</f>
        <v>0</v>
      </c>
      <c r="H23" s="1">
        <f>IF(H$4&lt;=核心参数输入!$B$9,H21*$B$9,0)</f>
        <v>22275</v>
      </c>
      <c r="I23" s="1">
        <f>IF(I$4&lt;=核心参数输入!$B$9,I21*$B$9,0)</f>
        <v>29700</v>
      </c>
      <c r="J23" s="1">
        <f>IF(J$4&lt;=核心参数输入!$B$9,J21*$B$9,0)</f>
        <v>22275</v>
      </c>
      <c r="K23" s="1">
        <f>IF(K$4&lt;=核心参数输入!$B$9,K21*$B$9,0)</f>
        <v>0</v>
      </c>
      <c r="L23" s="1">
        <f>IF(L$4&lt;=核心参数输入!$B$9,L21*$B$9,0)</f>
        <v>0</v>
      </c>
      <c r="M23" s="1">
        <f>IF(M$4&lt;=核心参数输入!$B$9,M21*$B$9,0)</f>
        <v>0</v>
      </c>
      <c r="N23" s="1">
        <f>IF(N$4&lt;=核心参数输入!$B$9,N21*$B$9,0)</f>
        <v>0</v>
      </c>
      <c r="O23" s="1">
        <f>IF(O$4&lt;=核心参数输入!$B$9,O21*$B$9,0)</f>
        <v>0</v>
      </c>
      <c r="P23" s="1">
        <f>IF(P$4&lt;=核心参数输入!$B$9,P21*$B$9,0)</f>
        <v>0</v>
      </c>
      <c r="Q23" s="1">
        <f>IF(Q$4&lt;=核心参数输入!$B$9,Q21*$B$9,0)</f>
        <v>0</v>
      </c>
      <c r="R23" s="1">
        <f>IF(R$4&lt;=核心参数输入!$B$9,R21*$B$9,0)</f>
        <v>0</v>
      </c>
      <c r="S23" s="1">
        <f>IF(S$4&lt;=核心参数输入!$B$9,S21*$B$9,0)</f>
        <v>0</v>
      </c>
      <c r="T23" s="1">
        <f>IF(T$4&lt;=核心参数输入!$B$9,T21*$B$9,0)</f>
        <v>0</v>
      </c>
      <c r="U23" s="1">
        <f>IF(U$4&lt;=核心参数输入!$B$9,U21*$B$9,0)</f>
        <v>0</v>
      </c>
      <c r="V23" s="1">
        <f>IF(V$4&lt;=核心参数输入!$B$9,V21*$B$9,0)</f>
        <v>0</v>
      </c>
      <c r="W23" s="1">
        <f>IF(W$4&lt;=核心参数输入!$B$9,W21*$B$9,0)</f>
        <v>0</v>
      </c>
      <c r="X23" s="1">
        <f>IF(X$4&lt;=核心参数输入!$B$9,X21*$B$9,0)</f>
        <v>0</v>
      </c>
      <c r="Y23" s="1">
        <f>IF(Y$4&lt;=核心参数输入!$B$9,Y21*$B$9,0)</f>
        <v>0</v>
      </c>
      <c r="Z23" s="1">
        <f>IF(Z$4&lt;=核心参数输入!$B$9,Z21*$B$9,0)</f>
        <v>0</v>
      </c>
      <c r="AA23" s="1">
        <f>IF(AA$4&lt;=核心参数输入!$B$9,AA21*$B$9,0)</f>
        <v>0</v>
      </c>
      <c r="AB23" s="1">
        <f>IF(AB$4&lt;=核心参数输入!$B$9,AB21*$B$9,0)</f>
        <v>0</v>
      </c>
      <c r="AC23" s="1">
        <f>IF(AC$4&lt;=核心参数输入!$B$9,AC21*$B$9,0)</f>
        <v>0</v>
      </c>
      <c r="AD23" s="1">
        <f>IF(AD$4&lt;=核心参数输入!$B$9,AD21*$B$9,0)</f>
        <v>0</v>
      </c>
      <c r="AE23" s="1">
        <f>IF(AE$4&lt;=核心参数输入!$B$9,AE21*$B$9,0)</f>
        <v>0</v>
      </c>
      <c r="AF23" s="1">
        <f>IF(AF$4&lt;=核心参数输入!$B$9,AF21*$B$9,0)</f>
        <v>0</v>
      </c>
      <c r="AG23" s="1">
        <f>IF(AG$4&lt;=核心参数输入!$B$9,AG21*$B$9,0)</f>
        <v>0</v>
      </c>
      <c r="AH23" s="1">
        <f>IF(AH$4&lt;=核心参数输入!$B$9,AH21*$B$9,0)</f>
        <v>0</v>
      </c>
    </row>
    <row r="24" spans="1:34" ht="21" customHeight="1">
      <c r="A24" s="11" t="s">
        <v>172</v>
      </c>
      <c r="B24" s="11" t="s">
        <v>24</v>
      </c>
      <c r="D24" s="1">
        <f>IF(D$4&lt;=核心参数输入!$B$9,$B$9*(1-D22),0)</f>
        <v>74250</v>
      </c>
      <c r="E24" s="1">
        <f>IF(E$4&lt;=核心参数输入!$B$9,$B$9*(1-E22),0)</f>
        <v>74250</v>
      </c>
      <c r="F24" s="1">
        <f>IF(F$4&lt;=核心参数输入!$B$9,$B$9*(1-F22),0)</f>
        <v>74250</v>
      </c>
      <c r="G24" s="1">
        <f>IF(G$4&lt;=核心参数输入!$B$9,$B$9*(1-G22),0)</f>
        <v>74250</v>
      </c>
      <c r="H24" s="1">
        <f>IF(H$4&lt;=核心参数输入!$B$9,$B$9*(1-H22),0)</f>
        <v>51975</v>
      </c>
      <c r="I24" s="1">
        <f>IF(I$4&lt;=核心参数输入!$B$9,$B$9*(1-I22),0)</f>
        <v>22275.000000000004</v>
      </c>
      <c r="J24" s="1">
        <f>IF(J$4&lt;=核心参数输入!$B$9,$B$9*(1-J22),0)</f>
        <v>0</v>
      </c>
      <c r="K24" s="1">
        <f>IF(K$4&lt;=核心参数输入!$B$9,$B$9*(1-K22),0)</f>
        <v>0</v>
      </c>
      <c r="L24" s="1">
        <f>IF(L$4&lt;=核心参数输入!$B$9,$B$9*(1-L22),0)</f>
        <v>0</v>
      </c>
      <c r="M24" s="1">
        <f>IF(M$4&lt;=核心参数输入!$B$9,$B$9*(1-M22),0)</f>
        <v>0</v>
      </c>
      <c r="N24" s="1">
        <f>IF(N$4&lt;=核心参数输入!$B$9,$B$9*(1-N22),0)</f>
        <v>0</v>
      </c>
      <c r="O24" s="1">
        <f>IF(O$4&lt;=核心参数输入!$B$9,$B$9*(1-O22),0)</f>
        <v>0</v>
      </c>
      <c r="P24" s="1">
        <f>IF(P$4&lt;=核心参数输入!$B$9,$B$9*(1-P22),0)</f>
        <v>0</v>
      </c>
      <c r="Q24" s="1">
        <f>IF(Q$4&lt;=核心参数输入!$B$9,$B$9*(1-Q22),0)</f>
        <v>0</v>
      </c>
      <c r="R24" s="1">
        <f>IF(R$4&lt;=核心参数输入!$B$9,$B$9*(1-R22),0)</f>
        <v>0</v>
      </c>
      <c r="S24" s="1">
        <f>IF(S$4&lt;=核心参数输入!$B$9,$B$9*(1-S22),0)</f>
        <v>0</v>
      </c>
      <c r="T24" s="1">
        <f>IF(T$4&lt;=核心参数输入!$B$9,$B$9*(1-T22),0)</f>
        <v>0</v>
      </c>
      <c r="U24" s="1">
        <f>IF(U$4&lt;=核心参数输入!$B$9,$B$9*(1-U22),0)</f>
        <v>0</v>
      </c>
      <c r="V24" s="1">
        <f>IF(V$4&lt;=核心参数输入!$B$9,$B$9*(1-V22),0)</f>
        <v>0</v>
      </c>
      <c r="W24" s="1">
        <f>IF(W$4&lt;=核心参数输入!$B$9,$B$9*(1-W22),0)</f>
        <v>0</v>
      </c>
      <c r="X24" s="1">
        <f>IF(X$4&lt;=核心参数输入!$B$9,$B$9*(1-X22),0)</f>
        <v>0</v>
      </c>
      <c r="Y24" s="1">
        <f>IF(Y$4&lt;=核心参数输入!$B$9,$B$9*(1-Y22),0)</f>
        <v>0</v>
      </c>
      <c r="Z24" s="1">
        <f>IF(Z$4&lt;=核心参数输入!$B$9,$B$9*(1-Z22),0)</f>
        <v>0</v>
      </c>
      <c r="AA24" s="1">
        <f>IF(AA$4&lt;=核心参数输入!$B$9,$B$9*(1-AA22),0)</f>
        <v>0</v>
      </c>
      <c r="AB24" s="1">
        <f>IF(AB$4&lt;=核心参数输入!$B$9,$B$9*(1-AB22),0)</f>
        <v>0</v>
      </c>
      <c r="AC24" s="1">
        <f>IF(AC$4&lt;=核心参数输入!$B$9,$B$9*(1-AC22),0)</f>
        <v>0</v>
      </c>
      <c r="AD24" s="1">
        <f>IF(AD$4&lt;=核心参数输入!$B$9,$B$9*(1-AD22),0)</f>
        <v>0</v>
      </c>
      <c r="AE24" s="1">
        <f>IF(AE$4&lt;=核心参数输入!$B$9,$B$9*(1-AE22),0)</f>
        <v>0</v>
      </c>
      <c r="AF24" s="1">
        <f>IF(AF$4&lt;=核心参数输入!$B$9,$B$9*(1-AF22),0)</f>
        <v>0</v>
      </c>
      <c r="AG24" s="1">
        <f>IF(AG$4&lt;=核心参数输入!$B$9,$B$9*(1-AG22),0)</f>
        <v>0</v>
      </c>
      <c r="AH24" s="1">
        <f>IF(AH$4&lt;=核心参数输入!$B$9,$B$9*(1-AH22),0)</f>
        <v>0</v>
      </c>
    </row>
    <row r="25" spans="1:34" ht="21" customHeight="1">
      <c r="A25" s="11" t="s">
        <v>173</v>
      </c>
      <c r="B25" s="11" t="s">
        <v>19</v>
      </c>
      <c r="D25" s="12">
        <f>IF(D$4&lt;=核心参数输入!$B$9,IF(D$4&gt;=核心参数输入!$B$18,D$4-核心参数输入!$B$18+1,0),0)</f>
        <v>0</v>
      </c>
      <c r="E25" s="12">
        <f>IF(E$4&lt;=核心参数输入!$B$9,IF(E$4&gt;=核心参数输入!$B$18,E$4-核心参数输入!$B$18+1,0),0)</f>
        <v>0</v>
      </c>
      <c r="F25" s="12">
        <f>IF(F$4&lt;=核心参数输入!$B$9,IF(F$4&gt;=核心参数输入!$B$18,F$4-核心参数输入!$B$18+1,0),0)</f>
        <v>0</v>
      </c>
      <c r="G25" s="12">
        <f>IF(G$4&lt;=核心参数输入!$B$9,IF(G$4&gt;=核心参数输入!$B$18,G$4-核心参数输入!$B$18+1,0),0)</f>
        <v>0</v>
      </c>
      <c r="H25" s="12">
        <f>IF(H$4&lt;=核心参数输入!$B$9,IF(H$4&gt;=核心参数输入!$B$18,H$4-核心参数输入!$B$18+1,0),0)</f>
        <v>1</v>
      </c>
      <c r="I25" s="12">
        <f>IF(I$4&lt;=核心参数输入!$B$9,IF(I$4&gt;=核心参数输入!$B$18,I$4-核心参数输入!$B$18+1,0),0)</f>
        <v>2</v>
      </c>
      <c r="J25" s="12">
        <f>IF(J$4&lt;=核心参数输入!$B$9,IF(J$4&gt;=核心参数输入!$B$18,J$4-核心参数输入!$B$18+1,0),0)</f>
        <v>3</v>
      </c>
      <c r="K25" s="12">
        <f>IF(K$4&lt;=核心参数输入!$B$9,IF(K$4&gt;=核心参数输入!$B$18,K$4-核心参数输入!$B$18+1,0),0)</f>
        <v>4</v>
      </c>
      <c r="L25" s="12">
        <f>IF(L$4&lt;=核心参数输入!$B$9,IF(L$4&gt;=核心参数输入!$B$18,L$4-核心参数输入!$B$18+1,0),0)</f>
        <v>5</v>
      </c>
      <c r="M25" s="12">
        <f>IF(M$4&lt;=核心参数输入!$B$9,IF(M$4&gt;=核心参数输入!$B$18,M$4-核心参数输入!$B$18+1,0),0)</f>
        <v>6</v>
      </c>
      <c r="N25" s="12">
        <f>IF(N$4&lt;=核心参数输入!$B$9,IF(N$4&gt;=核心参数输入!$B$18,N$4-核心参数输入!$B$18+1,0),0)</f>
        <v>7</v>
      </c>
      <c r="O25" s="12">
        <f>IF(O$4&lt;=核心参数输入!$B$9,IF(O$4&gt;=核心参数输入!$B$18,O$4-核心参数输入!$B$18+1,0),0)</f>
        <v>8</v>
      </c>
      <c r="P25" s="12">
        <f>IF(P$4&lt;=核心参数输入!$B$9,IF(P$4&gt;=核心参数输入!$B$18,P$4-核心参数输入!$B$18+1,0),0)</f>
        <v>9</v>
      </c>
      <c r="Q25" s="12">
        <f>IF(Q$4&lt;=核心参数输入!$B$9,IF(Q$4&gt;=核心参数输入!$B$18,Q$4-核心参数输入!$B$18+1,0),0)</f>
        <v>10</v>
      </c>
      <c r="R25" s="12">
        <f>IF(R$4&lt;=核心参数输入!$B$9,IF(R$4&gt;=核心参数输入!$B$18,R$4-核心参数输入!$B$18+1,0),0)</f>
        <v>11</v>
      </c>
      <c r="S25" s="12">
        <f>IF(S$4&lt;=核心参数输入!$B$9,IF(S$4&gt;=核心参数输入!$B$18,S$4-核心参数输入!$B$18+1,0),0)</f>
        <v>12</v>
      </c>
      <c r="T25" s="12">
        <f>IF(T$4&lt;=核心参数输入!$B$9,IF(T$4&gt;=核心参数输入!$B$18,T$4-核心参数输入!$B$18+1,0),0)</f>
        <v>13</v>
      </c>
      <c r="U25" s="12">
        <f>IF(U$4&lt;=核心参数输入!$B$9,IF(U$4&gt;=核心参数输入!$B$18,U$4-核心参数输入!$B$18+1,0),0)</f>
        <v>14</v>
      </c>
      <c r="V25" s="12">
        <f>IF(V$4&lt;=核心参数输入!$B$9,IF(V$4&gt;=核心参数输入!$B$18,V$4-核心参数输入!$B$18+1,0),0)</f>
        <v>15</v>
      </c>
      <c r="W25" s="12">
        <f>IF(W$4&lt;=核心参数输入!$B$9,IF(W$4&gt;=核心参数输入!$B$18,W$4-核心参数输入!$B$18+1,0),0)</f>
        <v>16</v>
      </c>
      <c r="X25" s="12">
        <f>IF(X$4&lt;=核心参数输入!$B$9,IF(X$4&gt;=核心参数输入!$B$18,X$4-核心参数输入!$B$18+1,0),0)</f>
        <v>17</v>
      </c>
      <c r="Y25" s="12">
        <f>IF(Y$4&lt;=核心参数输入!$B$9,IF(Y$4&gt;=核心参数输入!$B$18,Y$4-核心参数输入!$B$18+1,0),0)</f>
        <v>0</v>
      </c>
      <c r="Z25" s="12">
        <f>IF(Z$4&lt;=核心参数输入!$B$9,IF(Z$4&gt;=核心参数输入!$B$18,Z$4-核心参数输入!$B$18+1,0),0)</f>
        <v>0</v>
      </c>
      <c r="AA25" s="12">
        <f>IF(AA$4&lt;=核心参数输入!$B$9,IF(AA$4&gt;=核心参数输入!$B$18,AA$4-核心参数输入!$B$18+1,0),0)</f>
        <v>0</v>
      </c>
      <c r="AB25" s="12">
        <f>IF(AB$4&lt;=核心参数输入!$B$9,IF(AB$4&gt;=核心参数输入!$B$18,AB$4-核心参数输入!$B$18+1,0),0)</f>
        <v>0</v>
      </c>
      <c r="AC25" s="12">
        <f>IF(AC$4&lt;=核心参数输入!$B$9,IF(AC$4&gt;=核心参数输入!$B$18,AC$4-核心参数输入!$B$18+1,0),0)</f>
        <v>0</v>
      </c>
      <c r="AD25" s="12">
        <f>IF(AD$4&lt;=核心参数输入!$B$9,IF(AD$4&gt;=核心参数输入!$B$18,AD$4-核心参数输入!$B$18+1,0),0)</f>
        <v>0</v>
      </c>
      <c r="AE25" s="12">
        <f>IF(AE$4&lt;=核心参数输入!$B$9,IF(AE$4&gt;=核心参数输入!$B$18,AE$4-核心参数输入!$B$18+1,0),0)</f>
        <v>0</v>
      </c>
      <c r="AF25" s="12">
        <f>IF(AF$4&lt;=核心参数输入!$B$9,IF(AF$4&gt;=核心参数输入!$B$18,AF$4-核心参数输入!$B$18+1,0),0)</f>
        <v>0</v>
      </c>
      <c r="AG25" s="12">
        <f>IF(AG$4&lt;=核心参数输入!$B$9,IF(AG$4&gt;=核心参数输入!$B$18,AG$4-核心参数输入!$B$18+1,0),0)</f>
        <v>0</v>
      </c>
      <c r="AH25" s="12">
        <f>IF(AH$4&lt;=核心参数输入!$B$9,IF(AH$4&gt;=核心参数输入!$B$18,AH$4-核心参数输入!$B$18+1,0),0)</f>
        <v>0</v>
      </c>
    </row>
    <row r="26" spans="1:34" ht="21" customHeight="1">
      <c r="A26" s="11" t="s">
        <v>174</v>
      </c>
      <c r="B26" s="11" t="s">
        <v>30</v>
      </c>
      <c r="D26" s="10">
        <f>IF(D$4&lt;=核心参数输入!$B$9,IF(D25=0,0,MAX(0,IF(D25=1,核心参数输入!$B$38,IF(D25=2,核心参数输入!$B$39,IF(D25=3,核心参数输入!$B$40,核心参数输入!$B$41)))-0)),0)</f>
        <v>0</v>
      </c>
      <c r="E26" s="10">
        <f>IF(E$4&lt;=核心参数输入!$B$9,IF(E25=0,0,MAX(0,IF(E25=1,核心参数输入!$B$38,IF(E25=2,核心参数输入!$B$39,IF(E25=3,核心参数输入!$B$40,核心参数输入!$B$41)))-0)),0)</f>
        <v>0</v>
      </c>
      <c r="F26" s="10">
        <f>IF(F$4&lt;=核心参数输入!$B$9,IF(F25=0,0,MAX(0,IF(F25=1,核心参数输入!$B$38,IF(F25=2,核心参数输入!$B$39,IF(F25=3,核心参数输入!$B$40,核心参数输入!$B$41)))-0)),0)</f>
        <v>0</v>
      </c>
      <c r="G26" s="10">
        <f>IF(G$4&lt;=核心参数输入!$B$9,IF(G25=0,0,MAX(0,IF(G25=1,核心参数输入!$B$38,IF(G25=2,核心参数输入!$B$39,IF(G25=3,核心参数输入!$B$40,核心参数输入!$B$41)))-0)),0)</f>
        <v>0</v>
      </c>
      <c r="H26" s="10">
        <f>IF(H$4&lt;=核心参数输入!$B$9,IF(H25=0,0,MAX(0,IF(H25=1,核心参数输入!$B$38,IF(H25=2,核心参数输入!$B$39,IF(H25=3,核心参数输入!$B$40,核心参数输入!$B$41)))-0)),0)</f>
        <v>0.5</v>
      </c>
      <c r="I26" s="10">
        <f>IF(I$4&lt;=核心参数输入!$B$9,IF(I25=0,0,MAX(0,IF(I25=1,核心参数输入!$B$38,IF(I25=2,核心参数输入!$B$39,IF(I25=3,核心参数输入!$B$40,核心参数输入!$B$41)))-0)),0)</f>
        <v>0.7</v>
      </c>
      <c r="J26" s="10">
        <f>IF(J$4&lt;=核心参数输入!$B$9,IF(J25=0,0,MAX(0,IF(J25=1,核心参数输入!$B$38,IF(J25=2,核心参数输入!$B$39,IF(J25=3,核心参数输入!$B$40,核心参数输入!$B$41)))-0)),0)</f>
        <v>0.85</v>
      </c>
      <c r="K26" s="10">
        <f>IF(K$4&lt;=核心参数输入!$B$9,IF(K25=0,0,MAX(0,IF(K25=1,核心参数输入!$B$38,IF(K25=2,核心参数输入!$B$39,IF(K25=3,核心参数输入!$B$40,核心参数输入!$B$41)))-0)),0)</f>
        <v>0.9</v>
      </c>
      <c r="L26" s="10">
        <f>IF(L$4&lt;=核心参数输入!$B$9,IF(L25=0,0,MAX(0,IF(L25=1,核心参数输入!$B$38,IF(L25=2,核心参数输入!$B$39,IF(L25=3,核心参数输入!$B$40,核心参数输入!$B$41)))-0)),0)</f>
        <v>0.9</v>
      </c>
      <c r="M26" s="10">
        <f>IF(M$4&lt;=核心参数输入!$B$9,IF(M25=0,0,MAX(0,IF(M25=1,核心参数输入!$B$38,IF(M25=2,核心参数输入!$B$39,IF(M25=3,核心参数输入!$B$40,核心参数输入!$B$41)))-0)),0)</f>
        <v>0.9</v>
      </c>
      <c r="N26" s="10">
        <f>IF(N$4&lt;=核心参数输入!$B$9,IF(N25=0,0,MAX(0,IF(N25=1,核心参数输入!$B$38,IF(N25=2,核心参数输入!$B$39,IF(N25=3,核心参数输入!$B$40,核心参数输入!$B$41)))-0)),0)</f>
        <v>0.9</v>
      </c>
      <c r="O26" s="10">
        <f>IF(O$4&lt;=核心参数输入!$B$9,IF(O25=0,0,MAX(0,IF(O25=1,核心参数输入!$B$38,IF(O25=2,核心参数输入!$B$39,IF(O25=3,核心参数输入!$B$40,核心参数输入!$B$41)))-0)),0)</f>
        <v>0.9</v>
      </c>
      <c r="P26" s="10">
        <f>IF(P$4&lt;=核心参数输入!$B$9,IF(P25=0,0,MAX(0,IF(P25=1,核心参数输入!$B$38,IF(P25=2,核心参数输入!$B$39,IF(P25=3,核心参数输入!$B$40,核心参数输入!$B$41)))-0)),0)</f>
        <v>0.9</v>
      </c>
      <c r="Q26" s="10">
        <f>IF(Q$4&lt;=核心参数输入!$B$9,IF(Q25=0,0,MAX(0,IF(Q25=1,核心参数输入!$B$38,IF(Q25=2,核心参数输入!$B$39,IF(Q25=3,核心参数输入!$B$40,核心参数输入!$B$41)))-0)),0)</f>
        <v>0.9</v>
      </c>
      <c r="R26" s="10">
        <f>IF(R$4&lt;=核心参数输入!$B$9,IF(R25=0,0,MAX(0,IF(R25=1,核心参数输入!$B$38,IF(R25=2,核心参数输入!$B$39,IF(R25=3,核心参数输入!$B$40,核心参数输入!$B$41)))-0)),0)</f>
        <v>0.9</v>
      </c>
      <c r="S26" s="10">
        <f>IF(S$4&lt;=核心参数输入!$B$9,IF(S25=0,0,MAX(0,IF(S25=1,核心参数输入!$B$38,IF(S25=2,核心参数输入!$B$39,IF(S25=3,核心参数输入!$B$40,核心参数输入!$B$41)))-0)),0)</f>
        <v>0.9</v>
      </c>
      <c r="T26" s="10">
        <f>IF(T$4&lt;=核心参数输入!$B$9,IF(T25=0,0,MAX(0,IF(T25=1,核心参数输入!$B$38,IF(T25=2,核心参数输入!$B$39,IF(T25=3,核心参数输入!$B$40,核心参数输入!$B$41)))-0)),0)</f>
        <v>0.9</v>
      </c>
      <c r="U26" s="10">
        <f>IF(U$4&lt;=核心参数输入!$B$9,IF(U25=0,0,MAX(0,IF(U25=1,核心参数输入!$B$38,IF(U25=2,核心参数输入!$B$39,IF(U25=3,核心参数输入!$B$40,核心参数输入!$B$41)))-0)),0)</f>
        <v>0.9</v>
      </c>
      <c r="V26" s="10">
        <f>IF(V$4&lt;=核心参数输入!$B$9,IF(V25=0,0,MAX(0,IF(V25=1,核心参数输入!$B$38,IF(V25=2,核心参数输入!$B$39,IF(V25=3,核心参数输入!$B$40,核心参数输入!$B$41)))-0)),0)</f>
        <v>0.9</v>
      </c>
      <c r="W26" s="10">
        <f>IF(W$4&lt;=核心参数输入!$B$9,IF(W25=0,0,MAX(0,IF(W25=1,核心参数输入!$B$38,IF(W25=2,核心参数输入!$B$39,IF(W25=3,核心参数输入!$B$40,核心参数输入!$B$41)))-0)),0)</f>
        <v>0.9</v>
      </c>
      <c r="X26" s="10">
        <f>IF(X$4&lt;=核心参数输入!$B$9,IF(X25=0,0,MAX(0,IF(X25=1,核心参数输入!$B$38,IF(X25=2,核心参数输入!$B$39,IF(X25=3,核心参数输入!$B$40,核心参数输入!$B$41)))-0)),0)</f>
        <v>0.9</v>
      </c>
      <c r="Y26" s="10">
        <f>IF(Y$4&lt;=核心参数输入!$B$9,IF(Y25=0,0,MAX(0,IF(Y25=1,核心参数输入!$B$38,IF(Y25=2,核心参数输入!$B$39,IF(Y25=3,核心参数输入!$B$40,核心参数输入!$B$41)))-0)),0)</f>
        <v>0</v>
      </c>
      <c r="Z26" s="10">
        <f>IF(Z$4&lt;=核心参数输入!$B$9,IF(Z25=0,0,MAX(0,IF(Z25=1,核心参数输入!$B$38,IF(Z25=2,核心参数输入!$B$39,IF(Z25=3,核心参数输入!$B$40,核心参数输入!$B$41)))-0)),0)</f>
        <v>0</v>
      </c>
      <c r="AA26" s="10">
        <f>IF(AA$4&lt;=核心参数输入!$B$9,IF(AA25=0,0,MAX(0,IF(AA25=1,核心参数输入!$B$38,IF(AA25=2,核心参数输入!$B$39,IF(AA25=3,核心参数输入!$B$40,核心参数输入!$B$41)))-0)),0)</f>
        <v>0</v>
      </c>
      <c r="AB26" s="10">
        <f>IF(AB$4&lt;=核心参数输入!$B$9,IF(AB25=0,0,MAX(0,IF(AB25=1,核心参数输入!$B$38,IF(AB25=2,核心参数输入!$B$39,IF(AB25=3,核心参数输入!$B$40,核心参数输入!$B$41)))-0)),0)</f>
        <v>0</v>
      </c>
      <c r="AC26" s="10">
        <f>IF(AC$4&lt;=核心参数输入!$B$9,IF(AC25=0,0,MAX(0,IF(AC25=1,核心参数输入!$B$38,IF(AC25=2,核心参数输入!$B$39,IF(AC25=3,核心参数输入!$B$40,核心参数输入!$B$41)))-0)),0)</f>
        <v>0</v>
      </c>
      <c r="AD26" s="10">
        <f>IF(AD$4&lt;=核心参数输入!$B$9,IF(AD25=0,0,MAX(0,IF(AD25=1,核心参数输入!$B$38,IF(AD25=2,核心参数输入!$B$39,IF(AD25=3,核心参数输入!$B$40,核心参数输入!$B$41)))-0)),0)</f>
        <v>0</v>
      </c>
      <c r="AE26" s="10">
        <f>IF(AE$4&lt;=核心参数输入!$B$9,IF(AE25=0,0,MAX(0,IF(AE25=1,核心参数输入!$B$38,IF(AE25=2,核心参数输入!$B$39,IF(AE25=3,核心参数输入!$B$40,核心参数输入!$B$41)))-0)),0)</f>
        <v>0</v>
      </c>
      <c r="AF26" s="10">
        <f>IF(AF$4&lt;=核心参数输入!$B$9,IF(AF25=0,0,MAX(0,IF(AF25=1,核心参数输入!$B$38,IF(AF25=2,核心参数输入!$B$39,IF(AF25=3,核心参数输入!$B$40,核心参数输入!$B$41)))-0)),0)</f>
        <v>0</v>
      </c>
      <c r="AG26" s="10">
        <f>IF(AG$4&lt;=核心参数输入!$B$9,IF(AG25=0,0,MAX(0,IF(AG25=1,核心参数输入!$B$38,IF(AG25=2,核心参数输入!$B$39,IF(AG25=3,核心参数输入!$B$40,核心参数输入!$B$41)))-0)),0)</f>
        <v>0</v>
      </c>
      <c r="AH26" s="10">
        <f>IF(AH$4&lt;=核心参数输入!$B$9,IF(AH25=0,0,MAX(0,IF(AH25=1,核心参数输入!$B$38,IF(AH25=2,核心参数输入!$B$39,IF(AH25=3,核心参数输入!$B$40,核心参数输入!$B$41)))-0)),0)</f>
        <v>0</v>
      </c>
    </row>
    <row r="27" spans="1:34" ht="21" customHeight="1">
      <c r="A27" s="11" t="s">
        <v>175</v>
      </c>
      <c r="B27" s="11" t="s">
        <v>24</v>
      </c>
      <c r="D27" s="1">
        <f>IF(D$4&lt;=核心参数输入!$B$9,$B$10*D26,0)</f>
        <v>0</v>
      </c>
      <c r="E27" s="1">
        <f>IF(E$4&lt;=核心参数输入!$B$9,$B$10*E26,0)</f>
        <v>0</v>
      </c>
      <c r="F27" s="1">
        <f>IF(F$4&lt;=核心参数输入!$B$9,$B$10*F26,0)</f>
        <v>0</v>
      </c>
      <c r="G27" s="1">
        <f>IF(G$4&lt;=核心参数输入!$B$9,$B$10*G26,0)</f>
        <v>0</v>
      </c>
      <c r="H27" s="1">
        <f>IF(H$4&lt;=核心参数输入!$B$9,$B$10*H26,0)</f>
        <v>30374.999999999996</v>
      </c>
      <c r="I27" s="1">
        <f>IF(I$4&lt;=核心参数输入!$B$9,$B$10*I26,0)</f>
        <v>42524.999999999993</v>
      </c>
      <c r="J27" s="1">
        <f>IF(J$4&lt;=核心参数输入!$B$9,$B$10*J26,0)</f>
        <v>51637.499999999993</v>
      </c>
      <c r="K27" s="1">
        <f>IF(K$4&lt;=核心参数输入!$B$9,$B$10*K26,0)</f>
        <v>54674.999999999993</v>
      </c>
      <c r="L27" s="1">
        <f>IF(L$4&lt;=核心参数输入!$B$9,$B$10*L26,0)</f>
        <v>54674.999999999993</v>
      </c>
      <c r="M27" s="1">
        <f>IF(M$4&lt;=核心参数输入!$B$9,$B$10*M26,0)</f>
        <v>54674.999999999993</v>
      </c>
      <c r="N27" s="1">
        <f>IF(N$4&lt;=核心参数输入!$B$9,$B$10*N26,0)</f>
        <v>54674.999999999993</v>
      </c>
      <c r="O27" s="1">
        <f>IF(O$4&lt;=核心参数输入!$B$9,$B$10*O26,0)</f>
        <v>54674.999999999993</v>
      </c>
      <c r="P27" s="1">
        <f>IF(P$4&lt;=核心参数输入!$B$9,$B$10*P26,0)</f>
        <v>54674.999999999993</v>
      </c>
      <c r="Q27" s="1">
        <f>IF(Q$4&lt;=核心参数输入!$B$9,$B$10*Q26,0)</f>
        <v>54674.999999999993</v>
      </c>
      <c r="R27" s="1">
        <f>IF(R$4&lt;=核心参数输入!$B$9,$B$10*R26,0)</f>
        <v>54674.999999999993</v>
      </c>
      <c r="S27" s="1">
        <f>IF(S$4&lt;=核心参数输入!$B$9,$B$10*S26,0)</f>
        <v>54674.999999999993</v>
      </c>
      <c r="T27" s="1">
        <f>IF(T$4&lt;=核心参数输入!$B$9,$B$10*T26,0)</f>
        <v>54674.999999999993</v>
      </c>
      <c r="U27" s="1">
        <f>IF(U$4&lt;=核心参数输入!$B$9,$B$10*U26,0)</f>
        <v>54674.999999999993</v>
      </c>
      <c r="V27" s="1">
        <f>IF(V$4&lt;=核心参数输入!$B$9,$B$10*V26,0)</f>
        <v>54674.999999999993</v>
      </c>
      <c r="W27" s="1">
        <f>IF(W$4&lt;=核心参数输入!$B$9,$B$10*W26,0)</f>
        <v>54674.999999999993</v>
      </c>
      <c r="X27" s="1">
        <f>IF(X$4&lt;=核心参数输入!$B$9,$B$10*X26,0)</f>
        <v>54674.999999999993</v>
      </c>
      <c r="Y27" s="1">
        <f>IF(Y$4&lt;=核心参数输入!$B$9,$B$10*Y26,0)</f>
        <v>0</v>
      </c>
      <c r="Z27" s="1">
        <f>IF(Z$4&lt;=核心参数输入!$B$9,$B$10*Z26,0)</f>
        <v>0</v>
      </c>
      <c r="AA27" s="1">
        <f>IF(AA$4&lt;=核心参数输入!$B$9,$B$10*AA26,0)</f>
        <v>0</v>
      </c>
      <c r="AB27" s="1">
        <f>IF(AB$4&lt;=核心参数输入!$B$9,$B$10*AB26,0)</f>
        <v>0</v>
      </c>
      <c r="AC27" s="1">
        <f>IF(AC$4&lt;=核心参数输入!$B$9,$B$10*AC26,0)</f>
        <v>0</v>
      </c>
      <c r="AD27" s="1">
        <f>IF(AD$4&lt;=核心参数输入!$B$9,$B$10*AD26,0)</f>
        <v>0</v>
      </c>
      <c r="AE27" s="1">
        <f>IF(AE$4&lt;=核心参数输入!$B$9,$B$10*AE26,0)</f>
        <v>0</v>
      </c>
      <c r="AF27" s="1">
        <f>IF(AF$4&lt;=核心参数输入!$B$9,$B$10*AF26,0)</f>
        <v>0</v>
      </c>
      <c r="AG27" s="1">
        <f>IF(AG$4&lt;=核心参数输入!$B$9,$B$10*AG26,0)</f>
        <v>0</v>
      </c>
      <c r="AH27" s="1">
        <f>IF(AH$4&lt;=核心参数输入!$B$9,$B$10*AH26,0)</f>
        <v>0</v>
      </c>
    </row>
    <row r="28" spans="1:34" ht="21" customHeight="1">
      <c r="A28" s="11" t="s">
        <v>176</v>
      </c>
      <c r="B28" s="11" t="s">
        <v>24</v>
      </c>
      <c r="D28" s="1">
        <f>IF(D$4&lt;=核心参数输入!$B$9,MAX(0,D27-0),0)</f>
        <v>0</v>
      </c>
      <c r="E28" s="1">
        <f>IF(E$4&lt;=核心参数输入!$B$9,MAX(0,E27-D27),0)</f>
        <v>0</v>
      </c>
      <c r="F28" s="1">
        <f>IF(F$4&lt;=核心参数输入!$B$9,MAX(0,F27-E27),0)</f>
        <v>0</v>
      </c>
      <c r="G28" s="1">
        <f>IF(G$4&lt;=核心参数输入!$B$9,MAX(0,G27-F27),0)</f>
        <v>0</v>
      </c>
      <c r="H28" s="1">
        <f>IF(H$4&lt;=核心参数输入!$B$9,MAX(0,H27-G27),0)</f>
        <v>30374.999999999996</v>
      </c>
      <c r="I28" s="1">
        <f>IF(I$4&lt;=核心参数输入!$B$9,MAX(0,I27-H27),0)</f>
        <v>12149.999999999996</v>
      </c>
      <c r="J28" s="1">
        <f>IF(J$4&lt;=核心参数输入!$B$9,MAX(0,J27-I27),0)</f>
        <v>9112.5</v>
      </c>
      <c r="K28" s="1">
        <f>IF(K$4&lt;=核心参数输入!$B$9,MAX(0,K27-J27),0)</f>
        <v>3037.5</v>
      </c>
      <c r="L28" s="1">
        <f>IF(L$4&lt;=核心参数输入!$B$9,MAX(0,L27-K27),0)</f>
        <v>0</v>
      </c>
      <c r="M28" s="1">
        <f>IF(M$4&lt;=核心参数输入!$B$9,MAX(0,M27-L27),0)</f>
        <v>0</v>
      </c>
      <c r="N28" s="1">
        <f>IF(N$4&lt;=核心参数输入!$B$9,MAX(0,N27-M27),0)</f>
        <v>0</v>
      </c>
      <c r="O28" s="1">
        <f>IF(O$4&lt;=核心参数输入!$B$9,MAX(0,O27-N27),0)</f>
        <v>0</v>
      </c>
      <c r="P28" s="1">
        <f>IF(P$4&lt;=核心参数输入!$B$9,MAX(0,P27-O27),0)</f>
        <v>0</v>
      </c>
      <c r="Q28" s="1">
        <f>IF(Q$4&lt;=核心参数输入!$B$9,MAX(0,Q27-P27),0)</f>
        <v>0</v>
      </c>
      <c r="R28" s="1">
        <f>IF(R$4&lt;=核心参数输入!$B$9,MAX(0,R27-Q27),0)</f>
        <v>0</v>
      </c>
      <c r="S28" s="1">
        <f>IF(S$4&lt;=核心参数输入!$B$9,MAX(0,S27-R27),0)</f>
        <v>0</v>
      </c>
      <c r="T28" s="1">
        <f>IF(T$4&lt;=核心参数输入!$B$9,MAX(0,T27-S27),0)</f>
        <v>0</v>
      </c>
      <c r="U28" s="1">
        <f>IF(U$4&lt;=核心参数输入!$B$9,MAX(0,U27-T27),0)</f>
        <v>0</v>
      </c>
      <c r="V28" s="1">
        <f>IF(V$4&lt;=核心参数输入!$B$9,MAX(0,V27-U27),0)</f>
        <v>0</v>
      </c>
      <c r="W28" s="1">
        <f>IF(W$4&lt;=核心参数输入!$B$9,MAX(0,W27-V27),0)</f>
        <v>0</v>
      </c>
      <c r="X28" s="1">
        <f>IF(X$4&lt;=核心参数输入!$B$9,MAX(0,X27-W27),0)</f>
        <v>0</v>
      </c>
      <c r="Y28" s="1">
        <f>IF(Y$4&lt;=核心参数输入!$B$9,MAX(0,Y27-X27),0)</f>
        <v>0</v>
      </c>
      <c r="Z28" s="1">
        <f>IF(Z$4&lt;=核心参数输入!$B$9,MAX(0,Z27-Y27),0)</f>
        <v>0</v>
      </c>
      <c r="AA28" s="1">
        <f>IF(AA$4&lt;=核心参数输入!$B$9,MAX(0,AA27-Z27),0)</f>
        <v>0</v>
      </c>
      <c r="AB28" s="1">
        <f>IF(AB$4&lt;=核心参数输入!$B$9,MAX(0,AB27-AA27),0)</f>
        <v>0</v>
      </c>
      <c r="AC28" s="1">
        <f>IF(AC$4&lt;=核心参数输入!$B$9,MAX(0,AC27-AB27),0)</f>
        <v>0</v>
      </c>
      <c r="AD28" s="1">
        <f>IF(AD$4&lt;=核心参数输入!$B$9,MAX(0,AD27-AC27),0)</f>
        <v>0</v>
      </c>
      <c r="AE28" s="1">
        <f>IF(AE$4&lt;=核心参数输入!$B$9,MAX(0,AE27-AD27),0)</f>
        <v>0</v>
      </c>
      <c r="AF28" s="1">
        <f>IF(AF$4&lt;=核心参数输入!$B$9,MAX(0,AF27-AE27),0)</f>
        <v>0</v>
      </c>
      <c r="AG28" s="1">
        <f>IF(AG$4&lt;=核心参数输入!$B$9,MAX(0,AG27-AF27),0)</f>
        <v>0</v>
      </c>
      <c r="AH28" s="1">
        <f>IF(AH$4&lt;=核心参数输入!$B$9,MAX(0,AH27-AG27),0)</f>
        <v>0</v>
      </c>
    </row>
    <row r="29" spans="1:34" ht="21" customHeight="1">
      <c r="A29" s="11" t="s">
        <v>177</v>
      </c>
      <c r="B29" s="11" t="s">
        <v>178</v>
      </c>
      <c r="D29" s="1">
        <f>IF(D$4&lt;=核心参数输入!$B$9,IF(D22&gt;=0.999999,1,0),0)</f>
        <v>0</v>
      </c>
      <c r="E29" s="1">
        <f>IF(E$4&lt;=核心参数输入!$B$9,IF(E22&gt;=0.999999,1,0),0)</f>
        <v>0</v>
      </c>
      <c r="F29" s="1">
        <f>IF(F$4&lt;=核心参数输入!$B$9,IF(F22&gt;=0.999999,1,0),0)</f>
        <v>0</v>
      </c>
      <c r="G29" s="1">
        <f>IF(G$4&lt;=核心参数输入!$B$9,IF(G22&gt;=0.999999,1,0),0)</f>
        <v>0</v>
      </c>
      <c r="H29" s="1">
        <f>IF(H$4&lt;=核心参数输入!$B$9,IF(H22&gt;=0.999999,1,0),0)</f>
        <v>0</v>
      </c>
      <c r="I29" s="1">
        <f>IF(I$4&lt;=核心参数输入!$B$9,IF(I22&gt;=0.999999,1,0),0)</f>
        <v>0</v>
      </c>
      <c r="J29" s="1">
        <f>IF(J$4&lt;=核心参数输入!$B$9,IF(J22&gt;=0.999999,1,0),0)</f>
        <v>1</v>
      </c>
      <c r="K29" s="1">
        <f>IF(K$4&lt;=核心参数输入!$B$9,IF(K22&gt;=0.999999,1,0),0)</f>
        <v>1</v>
      </c>
      <c r="L29" s="1">
        <f>IF(L$4&lt;=核心参数输入!$B$9,IF(L22&gt;=0.999999,1,0),0)</f>
        <v>1</v>
      </c>
      <c r="M29" s="1">
        <f>IF(M$4&lt;=核心参数输入!$B$9,IF(M22&gt;=0.999999,1,0),0)</f>
        <v>1</v>
      </c>
      <c r="N29" s="1">
        <f>IF(N$4&lt;=核心参数输入!$B$9,IF(N22&gt;=0.999999,1,0),0)</f>
        <v>1</v>
      </c>
      <c r="O29" s="1">
        <f>IF(O$4&lt;=核心参数输入!$B$9,IF(O22&gt;=0.999999,1,0),0)</f>
        <v>1</v>
      </c>
      <c r="P29" s="1">
        <f>IF(P$4&lt;=核心参数输入!$B$9,IF(P22&gt;=0.999999,1,0),0)</f>
        <v>1</v>
      </c>
      <c r="Q29" s="1">
        <f>IF(Q$4&lt;=核心参数输入!$B$9,IF(Q22&gt;=0.999999,1,0),0)</f>
        <v>1</v>
      </c>
      <c r="R29" s="1">
        <f>IF(R$4&lt;=核心参数输入!$B$9,IF(R22&gt;=0.999999,1,0),0)</f>
        <v>1</v>
      </c>
      <c r="S29" s="1">
        <f>IF(S$4&lt;=核心参数输入!$B$9,IF(S22&gt;=0.999999,1,0),0)</f>
        <v>1</v>
      </c>
      <c r="T29" s="1">
        <f>IF(T$4&lt;=核心参数输入!$B$9,IF(T22&gt;=0.999999,1,0),0)</f>
        <v>1</v>
      </c>
      <c r="U29" s="1">
        <f>IF(U$4&lt;=核心参数输入!$B$9,IF(U22&gt;=0.999999,1,0),0)</f>
        <v>1</v>
      </c>
      <c r="V29" s="1">
        <f>IF(V$4&lt;=核心参数输入!$B$9,IF(V22&gt;=0.999999,1,0),0)</f>
        <v>1</v>
      </c>
      <c r="W29" s="1">
        <f>IF(W$4&lt;=核心参数输入!$B$9,IF(W22&gt;=0.999999,1,0),0)</f>
        <v>1</v>
      </c>
      <c r="X29" s="1">
        <f>IF(X$4&lt;=核心参数输入!$B$9,IF(X22&gt;=0.999999,1,0),0)</f>
        <v>1</v>
      </c>
      <c r="Y29" s="1">
        <f>IF(Y$4&lt;=核心参数输入!$B$9,IF(Y22&gt;=0.999999,1,0),0)</f>
        <v>0</v>
      </c>
      <c r="Z29" s="1">
        <f>IF(Z$4&lt;=核心参数输入!$B$9,IF(Z22&gt;=0.999999,1,0),0)</f>
        <v>0</v>
      </c>
      <c r="AA29" s="1">
        <f>IF(AA$4&lt;=核心参数输入!$B$9,IF(AA22&gt;=0.999999,1,0),0)</f>
        <v>0</v>
      </c>
      <c r="AB29" s="1">
        <f>IF(AB$4&lt;=核心参数输入!$B$9,IF(AB22&gt;=0.999999,1,0),0)</f>
        <v>0</v>
      </c>
      <c r="AC29" s="1">
        <f>IF(AC$4&lt;=核心参数输入!$B$9,IF(AC22&gt;=0.999999,1,0),0)</f>
        <v>0</v>
      </c>
      <c r="AD29" s="1">
        <f>IF(AD$4&lt;=核心参数输入!$B$9,IF(AD22&gt;=0.999999,1,0),0)</f>
        <v>0</v>
      </c>
      <c r="AE29" s="1">
        <f>IF(AE$4&lt;=核心参数输入!$B$9,IF(AE22&gt;=0.999999,1,0),0)</f>
        <v>0</v>
      </c>
      <c r="AF29" s="1">
        <f>IF(AF$4&lt;=核心参数输入!$B$9,IF(AF22&gt;=0.999999,1,0),0)</f>
        <v>0</v>
      </c>
      <c r="AG29" s="1">
        <f>IF(AG$4&lt;=核心参数输入!$B$9,IF(AG22&gt;=0.999999,1,0),0)</f>
        <v>0</v>
      </c>
      <c r="AH29" s="1">
        <f>IF(AH$4&lt;=核心参数输入!$B$9,IF(AH22&gt;=0.999999,1,0),0)</f>
        <v>0</v>
      </c>
    </row>
    <row r="98" spans="1:34" ht="24.95" customHeight="1">
      <c r="A98" s="15" t="s">
        <v>179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</row>
    <row r="100" spans="1:34" ht="21" customHeight="1">
      <c r="A100" s="11" t="s">
        <v>168</v>
      </c>
      <c r="B100" s="11" t="s">
        <v>30</v>
      </c>
      <c r="D100" s="10">
        <f>IF(D$4&lt;=核心参数输入!$B$9,IF(AND(D$4&gt;=1,D$4&lt;=核心参数输入!$B$16),核心参数输入!D88,0),0)</f>
        <v>0</v>
      </c>
      <c r="E100" s="10">
        <f>IF(E$4&lt;=核心参数输入!$B$9,IF(AND(E$4&gt;=1,E$4&lt;=核心参数输入!$B$16),核心参数输入!E88,0),0)</f>
        <v>0.3</v>
      </c>
      <c r="F100" s="10">
        <f>IF(F$4&lt;=核心参数输入!$B$9,IF(AND(F$4&gt;=1,F$4&lt;=核心参数输入!$B$16),核心参数输入!F88,0),0)</f>
        <v>0.4</v>
      </c>
      <c r="G100" s="10">
        <f>IF(G$4&lt;=核心参数输入!$B$9,IF(AND(G$4&gt;=1,G$4&lt;=核心参数输入!$B$16),核心参数输入!G88,0),0)</f>
        <v>0.3</v>
      </c>
      <c r="H100" s="10">
        <f>IF(H$4&lt;=核心参数输入!$B$9,IF(AND(H$4&gt;=1,H$4&lt;=核心参数输入!$B$16),核心参数输入!H88,0),0)</f>
        <v>0</v>
      </c>
      <c r="I100" s="10">
        <f>IF(I$4&lt;=核心参数输入!$B$9,IF(AND(I$4&gt;=1,I$4&lt;=核心参数输入!$B$16),核心参数输入!I88,0),0)</f>
        <v>0</v>
      </c>
      <c r="J100" s="10">
        <f>IF(J$4&lt;=核心参数输入!$B$9,IF(AND(J$4&gt;=1,J$4&lt;=核心参数输入!$B$16),核心参数输入!J88,0),0)</f>
        <v>0</v>
      </c>
      <c r="K100" s="10">
        <f>IF(K$4&lt;=核心参数输入!$B$9,IF(AND(K$4&gt;=1,K$4&lt;=核心参数输入!$B$16),核心参数输入!K88,0),0)</f>
        <v>0</v>
      </c>
      <c r="L100" s="10">
        <f>IF(L$4&lt;=核心参数输入!$B$9,IF(AND(L$4&gt;=1,L$4&lt;=核心参数输入!$B$16),核心参数输入!L88,0),0)</f>
        <v>0</v>
      </c>
      <c r="M100" s="10">
        <f>IF(M$4&lt;=核心参数输入!$B$9,IF(AND(M$4&gt;=1,M$4&lt;=核心参数输入!$B$16),核心参数输入!M88,0),0)</f>
        <v>0</v>
      </c>
      <c r="N100" s="10">
        <f>IF(N$4&lt;=核心参数输入!$B$9,IF(AND(N$4&gt;=1,N$4&lt;=核心参数输入!$B$16),核心参数输入!N88,0),0)</f>
        <v>0</v>
      </c>
      <c r="O100" s="10">
        <f>IF(O$4&lt;=核心参数输入!$B$9,IF(AND(O$4&gt;=1,O$4&lt;=核心参数输入!$B$16),核心参数输入!O88,0),0)</f>
        <v>0</v>
      </c>
      <c r="P100" s="10">
        <f>IF(P$4&lt;=核心参数输入!$B$9,IF(AND(P$4&gt;=1,P$4&lt;=核心参数输入!$B$16),核心参数输入!P88,0),0)</f>
        <v>0</v>
      </c>
      <c r="Q100" s="10">
        <f>IF(Q$4&lt;=核心参数输入!$B$9,IF(AND(Q$4&gt;=1,Q$4&lt;=核心参数输入!$B$16),核心参数输入!Q88,0),0)</f>
        <v>0</v>
      </c>
      <c r="R100" s="10">
        <f>IF(R$4&lt;=核心参数输入!$B$9,IF(AND(R$4&gt;=1,R$4&lt;=核心参数输入!$B$16),核心参数输入!R88,0),0)</f>
        <v>0</v>
      </c>
      <c r="S100" s="10">
        <f>IF(S$4&lt;=核心参数输入!$B$9,IF(AND(S$4&gt;=1,S$4&lt;=核心参数输入!$B$16),核心参数输入!S88,0),0)</f>
        <v>0</v>
      </c>
      <c r="T100" s="10">
        <f>IF(T$4&lt;=核心参数输入!$B$9,IF(AND(T$4&gt;=1,T$4&lt;=核心参数输入!$B$16),核心参数输入!T88,0),0)</f>
        <v>0</v>
      </c>
      <c r="U100" s="10">
        <f>IF(U$4&lt;=核心参数输入!$B$9,IF(AND(U$4&gt;=1,U$4&lt;=核心参数输入!$B$16),核心参数输入!U88,0),0)</f>
        <v>0</v>
      </c>
      <c r="V100" s="10">
        <f>IF(V$4&lt;=核心参数输入!$B$9,IF(AND(V$4&gt;=1,V$4&lt;=核心参数输入!$B$16),核心参数输入!V88,0),0)</f>
        <v>0</v>
      </c>
      <c r="W100" s="10">
        <f>IF(W$4&lt;=核心参数输入!$B$9,IF(AND(W$4&gt;=1,W$4&lt;=核心参数输入!$B$16),核心参数输入!W88,0),0)</f>
        <v>0</v>
      </c>
      <c r="X100" s="10">
        <f>IF(X$4&lt;=核心参数输入!$B$9,IF(AND(X$4&gt;=1,X$4&lt;=核心参数输入!$B$16),核心参数输入!X88,0),0)</f>
        <v>0</v>
      </c>
      <c r="Y100" s="10">
        <f>IF(Y$4&lt;=核心参数输入!$B$9,IF(AND(Y$4&gt;=1,Y$4&lt;=核心参数输入!$B$16),核心参数输入!Y88,0),0)</f>
        <v>0</v>
      </c>
      <c r="Z100" s="10">
        <f>IF(Z$4&lt;=核心参数输入!$B$9,IF(AND(Z$4&gt;=1,Z$4&lt;=核心参数输入!$B$16),核心参数输入!Z88,0),0)</f>
        <v>0</v>
      </c>
      <c r="AA100" s="10">
        <f>IF(AA$4&lt;=核心参数输入!$B$9,IF(AND(AA$4&gt;=1,AA$4&lt;=核心参数输入!$B$16),核心参数输入!AA88,0),0)</f>
        <v>0</v>
      </c>
      <c r="AB100" s="10">
        <f>IF(AB$4&lt;=核心参数输入!$B$9,IF(AND(AB$4&gt;=1,AB$4&lt;=核心参数输入!$B$16),核心参数输入!AB88,0),0)</f>
        <v>0</v>
      </c>
      <c r="AC100" s="10">
        <f>IF(AC$4&lt;=核心参数输入!$B$9,IF(AND(AC$4&gt;=1,AC$4&lt;=核心参数输入!$B$16),核心参数输入!AC88,0),0)</f>
        <v>0</v>
      </c>
      <c r="AD100" s="10">
        <f>IF(AD$4&lt;=核心参数输入!$B$9,IF(AND(AD$4&gt;=1,AD$4&lt;=核心参数输入!$B$16),核心参数输入!AD88,0),0)</f>
        <v>0</v>
      </c>
      <c r="AE100" s="10">
        <f>IF(AE$4&lt;=核心参数输入!$B$9,IF(AND(AE$4&gt;=1,AE$4&lt;=核心参数输入!$B$16),核心参数输入!AE88,0),0)</f>
        <v>0</v>
      </c>
      <c r="AF100" s="10">
        <f>IF(AF$4&lt;=核心参数输入!$B$9,IF(AND(AF$4&gt;=1,AF$4&lt;=核心参数输入!$B$16),核心参数输入!AF88,0),0)</f>
        <v>0</v>
      </c>
      <c r="AG100" s="10">
        <f>IF(AG$4&lt;=核心参数输入!$B$9,IF(AND(AG$4&gt;=1,AG$4&lt;=核心参数输入!$B$16),核心参数输入!AG88,0),0)</f>
        <v>0</v>
      </c>
      <c r="AH100" s="10">
        <f>IF(AH$4&lt;=核心参数输入!$B$9,IF(AND(AH$4&gt;=1,AH$4&lt;=核心参数输入!$B$16),核心参数输入!AH88,0),0)</f>
        <v>0</v>
      </c>
    </row>
    <row r="101" spans="1:34" ht="21" customHeight="1">
      <c r="A101" s="11" t="s">
        <v>169</v>
      </c>
      <c r="B101" s="11" t="s">
        <v>30</v>
      </c>
      <c r="D101" s="10">
        <f>IF(D$4&lt;=核心参数输入!$B$9,IF(D$4&gt;=核心参数输入!$B$17,核心参数输入!D89,0),0)</f>
        <v>0</v>
      </c>
      <c r="E101" s="10">
        <f>IF(E$4&lt;=核心参数输入!$B$9,IF(E$4&gt;=核心参数输入!$B$17,核心参数输入!E89,0),0)</f>
        <v>0</v>
      </c>
      <c r="F101" s="10">
        <f>IF(F$4&lt;=核心参数输入!$B$9,IF(F$4&gt;=核心参数输入!$B$17,核心参数输入!F89,0),0)</f>
        <v>0</v>
      </c>
      <c r="G101" s="10">
        <f>IF(G$4&lt;=核心参数输入!$B$9,IF(G$4&gt;=核心参数输入!$B$17,核心参数输入!G89,0),0)</f>
        <v>0</v>
      </c>
      <c r="H101" s="10">
        <f>IF(H$4&lt;=核心参数输入!$B$9,IF(H$4&gt;=核心参数输入!$B$17,核心参数输入!H89,0),0)</f>
        <v>0.3</v>
      </c>
      <c r="I101" s="10">
        <f>IF(I$4&lt;=核心参数输入!$B$9,IF(I$4&gt;=核心参数输入!$B$17,核心参数输入!I89,0),0)</f>
        <v>0.4</v>
      </c>
      <c r="J101" s="10">
        <f>IF(J$4&lt;=核心参数输入!$B$9,IF(J$4&gt;=核心参数输入!$B$17,核心参数输入!J89,0),0)</f>
        <v>0.3</v>
      </c>
      <c r="K101" s="10">
        <f>IF(K$4&lt;=核心参数输入!$B$9,IF(K$4&gt;=核心参数输入!$B$17,核心参数输入!K89,0),0)</f>
        <v>0</v>
      </c>
      <c r="L101" s="10">
        <f>IF(L$4&lt;=核心参数输入!$B$9,IF(L$4&gt;=核心参数输入!$B$17,核心参数输入!L89,0),0)</f>
        <v>0</v>
      </c>
      <c r="M101" s="10">
        <f>IF(M$4&lt;=核心参数输入!$B$9,IF(M$4&gt;=核心参数输入!$B$17,核心参数输入!M89,0),0)</f>
        <v>0</v>
      </c>
      <c r="N101" s="10">
        <f>IF(N$4&lt;=核心参数输入!$B$9,IF(N$4&gt;=核心参数输入!$B$17,核心参数输入!N89,0),0)</f>
        <v>0</v>
      </c>
      <c r="O101" s="10">
        <f>IF(O$4&lt;=核心参数输入!$B$9,IF(O$4&gt;=核心参数输入!$B$17,核心参数输入!O89,0),0)</f>
        <v>0</v>
      </c>
      <c r="P101" s="10">
        <f>IF(P$4&lt;=核心参数输入!$B$9,IF(P$4&gt;=核心参数输入!$B$17,核心参数输入!P89,0),0)</f>
        <v>0</v>
      </c>
      <c r="Q101" s="10">
        <f>IF(Q$4&lt;=核心参数输入!$B$9,IF(Q$4&gt;=核心参数输入!$B$17,核心参数输入!Q89,0),0)</f>
        <v>0</v>
      </c>
      <c r="R101" s="10">
        <f>IF(R$4&lt;=核心参数输入!$B$9,IF(R$4&gt;=核心参数输入!$B$17,核心参数输入!R89,0),0)</f>
        <v>0</v>
      </c>
      <c r="S101" s="10">
        <f>IF(S$4&lt;=核心参数输入!$B$9,IF(S$4&gt;=核心参数输入!$B$17,核心参数输入!S89,0),0)</f>
        <v>0</v>
      </c>
      <c r="T101" s="10">
        <f>IF(T$4&lt;=核心参数输入!$B$9,IF(T$4&gt;=核心参数输入!$B$17,核心参数输入!T89,0),0)</f>
        <v>0</v>
      </c>
      <c r="U101" s="10">
        <f>IF(U$4&lt;=核心参数输入!$B$9,IF(U$4&gt;=核心参数输入!$B$17,核心参数输入!U89,0),0)</f>
        <v>0</v>
      </c>
      <c r="V101" s="10">
        <f>IF(V$4&lt;=核心参数输入!$B$9,IF(V$4&gt;=核心参数输入!$B$17,核心参数输入!V89,0),0)</f>
        <v>0</v>
      </c>
      <c r="W101" s="10">
        <f>IF(W$4&lt;=核心参数输入!$B$9,IF(W$4&gt;=核心参数输入!$B$17,核心参数输入!W89,0),0)</f>
        <v>0</v>
      </c>
      <c r="X101" s="10">
        <f>IF(X$4&lt;=核心参数输入!$B$9,IF(X$4&gt;=核心参数输入!$B$17,核心参数输入!X89,0),0)</f>
        <v>0</v>
      </c>
      <c r="Y101" s="10">
        <f>IF(Y$4&lt;=核心参数输入!$B$9,IF(Y$4&gt;=核心参数输入!$B$17,核心参数输入!Y89,0),0)</f>
        <v>0</v>
      </c>
      <c r="Z101" s="10">
        <f>IF(Z$4&lt;=核心参数输入!$B$9,IF(Z$4&gt;=核心参数输入!$B$17,核心参数输入!Z89,0),0)</f>
        <v>0</v>
      </c>
      <c r="AA101" s="10">
        <f>IF(AA$4&lt;=核心参数输入!$B$9,IF(AA$4&gt;=核心参数输入!$B$17,核心参数输入!AA89,0),0)</f>
        <v>0</v>
      </c>
      <c r="AB101" s="10">
        <f>IF(AB$4&lt;=核心参数输入!$B$9,IF(AB$4&gt;=核心参数输入!$B$17,核心参数输入!AB89,0),0)</f>
        <v>0</v>
      </c>
      <c r="AC101" s="10">
        <f>IF(AC$4&lt;=核心参数输入!$B$9,IF(AC$4&gt;=核心参数输入!$B$17,核心参数输入!AC89,0),0)</f>
        <v>0</v>
      </c>
      <c r="AD101" s="10">
        <f>IF(AD$4&lt;=核心参数输入!$B$9,IF(AD$4&gt;=核心参数输入!$B$17,核心参数输入!AD89,0),0)</f>
        <v>0</v>
      </c>
      <c r="AE101" s="10">
        <f>IF(AE$4&lt;=核心参数输入!$B$9,IF(AE$4&gt;=核心参数输入!$B$17,核心参数输入!AE89,0),0)</f>
        <v>0</v>
      </c>
      <c r="AF101" s="10">
        <f>IF(AF$4&lt;=核心参数输入!$B$9,IF(AF$4&gt;=核心参数输入!$B$17,核心参数输入!AF89,0),0)</f>
        <v>0</v>
      </c>
      <c r="AG101" s="10">
        <f>IF(AG$4&lt;=核心参数输入!$B$9,IF(AG$4&gt;=核心参数输入!$B$17,核心参数输入!AG89,0),0)</f>
        <v>0</v>
      </c>
      <c r="AH101" s="10">
        <f>IF(AH$4&lt;=核心参数输入!$B$9,IF(AH$4&gt;=核心参数输入!$B$17,核心参数输入!AH89,0),0)</f>
        <v>0</v>
      </c>
    </row>
    <row r="102" spans="1:34" ht="21" customHeight="1">
      <c r="A102" s="11" t="s">
        <v>170</v>
      </c>
      <c r="B102" s="11" t="s">
        <v>30</v>
      </c>
      <c r="D102" s="10">
        <f>IF(D$4&lt;=核心参数输入!$B$9,SUM($D101:D101),0)</f>
        <v>0</v>
      </c>
      <c r="E102" s="10">
        <f>IF(E$4&lt;=核心参数输入!$B$9,SUM($D101:E101),0)</f>
        <v>0</v>
      </c>
      <c r="F102" s="10">
        <f>IF(F$4&lt;=核心参数输入!$B$9,SUM($D101:F101),0)</f>
        <v>0</v>
      </c>
      <c r="G102" s="10">
        <f>IF(G$4&lt;=核心参数输入!$B$9,SUM($D101:G101),0)</f>
        <v>0</v>
      </c>
      <c r="H102" s="10">
        <f>IF(H$4&lt;=核心参数输入!$B$9,SUM($D101:H101),0)</f>
        <v>0.3</v>
      </c>
      <c r="I102" s="10">
        <f>IF(I$4&lt;=核心参数输入!$B$9,SUM($D101:I101),0)</f>
        <v>0.7</v>
      </c>
      <c r="J102" s="10">
        <f>IF(J$4&lt;=核心参数输入!$B$9,SUM($D101:J101),0)</f>
        <v>1</v>
      </c>
      <c r="K102" s="10">
        <f>IF(K$4&lt;=核心参数输入!$B$9,SUM($D101:K101),0)</f>
        <v>1</v>
      </c>
      <c r="L102" s="10">
        <f>IF(L$4&lt;=核心参数输入!$B$9,SUM($D101:L101),0)</f>
        <v>1</v>
      </c>
      <c r="M102" s="10">
        <f>IF(M$4&lt;=核心参数输入!$B$9,SUM($D101:M101),0)</f>
        <v>1</v>
      </c>
      <c r="N102" s="10">
        <f>IF(N$4&lt;=核心参数输入!$B$9,SUM($D101:N101),0)</f>
        <v>1</v>
      </c>
      <c r="O102" s="10">
        <f>IF(O$4&lt;=核心参数输入!$B$9,SUM($D101:O101),0)</f>
        <v>1</v>
      </c>
      <c r="P102" s="10">
        <f>IF(P$4&lt;=核心参数输入!$B$9,SUM($D101:P101),0)</f>
        <v>1</v>
      </c>
      <c r="Q102" s="10">
        <f>IF(Q$4&lt;=核心参数输入!$B$9,SUM($D101:Q101),0)</f>
        <v>1</v>
      </c>
      <c r="R102" s="10">
        <f>IF(R$4&lt;=核心参数输入!$B$9,SUM($D101:R101),0)</f>
        <v>1</v>
      </c>
      <c r="S102" s="10">
        <f>IF(S$4&lt;=核心参数输入!$B$9,SUM($D101:S101),0)</f>
        <v>1</v>
      </c>
      <c r="T102" s="10">
        <f>IF(T$4&lt;=核心参数输入!$B$9,SUM($D101:T101),0)</f>
        <v>1</v>
      </c>
      <c r="U102" s="10">
        <f>IF(U$4&lt;=核心参数输入!$B$9,SUM($D101:U101),0)</f>
        <v>1</v>
      </c>
      <c r="V102" s="10">
        <f>IF(V$4&lt;=核心参数输入!$B$9,SUM($D101:V101),0)</f>
        <v>1</v>
      </c>
      <c r="W102" s="10">
        <f>IF(W$4&lt;=核心参数输入!$B$9,SUM($D101:W101),0)</f>
        <v>1</v>
      </c>
      <c r="X102" s="10">
        <f>IF(X$4&lt;=核心参数输入!$B$9,SUM($D101:X101),0)</f>
        <v>1</v>
      </c>
      <c r="Y102" s="10">
        <f>IF(Y$4&lt;=核心参数输入!$B$9,SUM($D101:Y101),0)</f>
        <v>0</v>
      </c>
      <c r="Z102" s="10">
        <f>IF(Z$4&lt;=核心参数输入!$B$9,SUM($D101:Z101),0)</f>
        <v>0</v>
      </c>
      <c r="AA102" s="10">
        <f>IF(AA$4&lt;=核心参数输入!$B$9,SUM($D101:AA101),0)</f>
        <v>0</v>
      </c>
      <c r="AB102" s="10">
        <f>IF(AB$4&lt;=核心参数输入!$B$9,SUM($D101:AB101),0)</f>
        <v>0</v>
      </c>
      <c r="AC102" s="10">
        <f>IF(AC$4&lt;=核心参数输入!$B$9,SUM($D101:AC101),0)</f>
        <v>0</v>
      </c>
      <c r="AD102" s="10">
        <f>IF(AD$4&lt;=核心参数输入!$B$9,SUM($D101:AD101),0)</f>
        <v>0</v>
      </c>
      <c r="AE102" s="10">
        <f>IF(AE$4&lt;=核心参数输入!$B$9,SUM($D101:AE101),0)</f>
        <v>0</v>
      </c>
      <c r="AF102" s="10">
        <f>IF(AF$4&lt;=核心参数输入!$B$9,SUM($D101:AF101),0)</f>
        <v>0</v>
      </c>
      <c r="AG102" s="10">
        <f>IF(AG$4&lt;=核心参数输入!$B$9,SUM($D101:AG101),0)</f>
        <v>0</v>
      </c>
      <c r="AH102" s="10">
        <f>IF(AH$4&lt;=核心参数输入!$B$9,SUM($D101:AH101),0)</f>
        <v>0</v>
      </c>
    </row>
    <row r="103" spans="1:34" ht="21" customHeight="1">
      <c r="A103" s="11" t="s">
        <v>171</v>
      </c>
      <c r="B103" s="11" t="s">
        <v>24</v>
      </c>
      <c r="D103" s="1">
        <f>IF(D$4&lt;=核心参数输入!$B$9,D101*$B$9,0)</f>
        <v>0</v>
      </c>
      <c r="E103" s="1">
        <f>IF(E$4&lt;=核心参数输入!$B$9,E101*$B$9,0)</f>
        <v>0</v>
      </c>
      <c r="F103" s="1">
        <f>IF(F$4&lt;=核心参数输入!$B$9,F101*$B$9,0)</f>
        <v>0</v>
      </c>
      <c r="G103" s="1">
        <f>IF(G$4&lt;=核心参数输入!$B$9,G101*$B$9,0)</f>
        <v>0</v>
      </c>
      <c r="H103" s="1">
        <f>IF(H$4&lt;=核心参数输入!$B$9,H101*$B$9,0)</f>
        <v>22275</v>
      </c>
      <c r="I103" s="1">
        <f>IF(I$4&lt;=核心参数输入!$B$9,I101*$B$9,0)</f>
        <v>29700</v>
      </c>
      <c r="J103" s="1">
        <f>IF(J$4&lt;=核心参数输入!$B$9,J101*$B$9,0)</f>
        <v>22275</v>
      </c>
      <c r="K103" s="1">
        <f>IF(K$4&lt;=核心参数输入!$B$9,K101*$B$9,0)</f>
        <v>0</v>
      </c>
      <c r="L103" s="1">
        <f>IF(L$4&lt;=核心参数输入!$B$9,L101*$B$9,0)</f>
        <v>0</v>
      </c>
      <c r="M103" s="1">
        <f>IF(M$4&lt;=核心参数输入!$B$9,M101*$B$9,0)</f>
        <v>0</v>
      </c>
      <c r="N103" s="1">
        <f>IF(N$4&lt;=核心参数输入!$B$9,N101*$B$9,0)</f>
        <v>0</v>
      </c>
      <c r="O103" s="1">
        <f>IF(O$4&lt;=核心参数输入!$B$9,O101*$B$9,0)</f>
        <v>0</v>
      </c>
      <c r="P103" s="1">
        <f>IF(P$4&lt;=核心参数输入!$B$9,P101*$B$9,0)</f>
        <v>0</v>
      </c>
      <c r="Q103" s="1">
        <f>IF(Q$4&lt;=核心参数输入!$B$9,Q101*$B$9,0)</f>
        <v>0</v>
      </c>
      <c r="R103" s="1">
        <f>IF(R$4&lt;=核心参数输入!$B$9,R101*$B$9,0)</f>
        <v>0</v>
      </c>
      <c r="S103" s="1">
        <f>IF(S$4&lt;=核心参数输入!$B$9,S101*$B$9,0)</f>
        <v>0</v>
      </c>
      <c r="T103" s="1">
        <f>IF(T$4&lt;=核心参数输入!$B$9,T101*$B$9,0)</f>
        <v>0</v>
      </c>
      <c r="U103" s="1">
        <f>IF(U$4&lt;=核心参数输入!$B$9,U101*$B$9,0)</f>
        <v>0</v>
      </c>
      <c r="V103" s="1">
        <f>IF(V$4&lt;=核心参数输入!$B$9,V101*$B$9,0)</f>
        <v>0</v>
      </c>
      <c r="W103" s="1">
        <f>IF(W$4&lt;=核心参数输入!$B$9,W101*$B$9,0)</f>
        <v>0</v>
      </c>
      <c r="X103" s="1">
        <f>IF(X$4&lt;=核心参数输入!$B$9,X101*$B$9,0)</f>
        <v>0</v>
      </c>
      <c r="Y103" s="1">
        <f>IF(Y$4&lt;=核心参数输入!$B$9,Y101*$B$9,0)</f>
        <v>0</v>
      </c>
      <c r="Z103" s="1">
        <f>IF(Z$4&lt;=核心参数输入!$B$9,Z101*$B$9,0)</f>
        <v>0</v>
      </c>
      <c r="AA103" s="1">
        <f>IF(AA$4&lt;=核心参数输入!$B$9,AA101*$B$9,0)</f>
        <v>0</v>
      </c>
      <c r="AB103" s="1">
        <f>IF(AB$4&lt;=核心参数输入!$B$9,AB101*$B$9,0)</f>
        <v>0</v>
      </c>
      <c r="AC103" s="1">
        <f>IF(AC$4&lt;=核心参数输入!$B$9,AC101*$B$9,0)</f>
        <v>0</v>
      </c>
      <c r="AD103" s="1">
        <f>IF(AD$4&lt;=核心参数输入!$B$9,AD101*$B$9,0)</f>
        <v>0</v>
      </c>
      <c r="AE103" s="1">
        <f>IF(AE$4&lt;=核心参数输入!$B$9,AE101*$B$9,0)</f>
        <v>0</v>
      </c>
      <c r="AF103" s="1">
        <f>IF(AF$4&lt;=核心参数输入!$B$9,AF101*$B$9,0)</f>
        <v>0</v>
      </c>
      <c r="AG103" s="1">
        <f>IF(AG$4&lt;=核心参数输入!$B$9,AG101*$B$9,0)</f>
        <v>0</v>
      </c>
      <c r="AH103" s="1">
        <f>IF(AH$4&lt;=核心参数输入!$B$9,AH101*$B$9,0)</f>
        <v>0</v>
      </c>
    </row>
    <row r="104" spans="1:34" ht="21" customHeight="1">
      <c r="A104" s="11" t="s">
        <v>172</v>
      </c>
      <c r="B104" s="11" t="s">
        <v>24</v>
      </c>
      <c r="D104" s="1">
        <f>IF(D$4&lt;=核心参数输入!$B$9,$B$9*(1-D102),0)</f>
        <v>74250</v>
      </c>
      <c r="E104" s="1">
        <f>IF(E$4&lt;=核心参数输入!$B$9,$B$9*(1-E102),0)</f>
        <v>74250</v>
      </c>
      <c r="F104" s="1">
        <f>IF(F$4&lt;=核心参数输入!$B$9,$B$9*(1-F102),0)</f>
        <v>74250</v>
      </c>
      <c r="G104" s="1">
        <f>IF(G$4&lt;=核心参数输入!$B$9,$B$9*(1-G102),0)</f>
        <v>74250</v>
      </c>
      <c r="H104" s="1">
        <f>IF(H$4&lt;=核心参数输入!$B$9,$B$9*(1-H102),0)</f>
        <v>51975</v>
      </c>
      <c r="I104" s="1">
        <f>IF(I$4&lt;=核心参数输入!$B$9,$B$9*(1-I102),0)</f>
        <v>22275.000000000004</v>
      </c>
      <c r="J104" s="1">
        <f>IF(J$4&lt;=核心参数输入!$B$9,$B$9*(1-J102),0)</f>
        <v>0</v>
      </c>
      <c r="K104" s="1">
        <f>IF(K$4&lt;=核心参数输入!$B$9,$B$9*(1-K102),0)</f>
        <v>0</v>
      </c>
      <c r="L104" s="1">
        <f>IF(L$4&lt;=核心参数输入!$B$9,$B$9*(1-L102),0)</f>
        <v>0</v>
      </c>
      <c r="M104" s="1">
        <f>IF(M$4&lt;=核心参数输入!$B$9,$B$9*(1-M102),0)</f>
        <v>0</v>
      </c>
      <c r="N104" s="1">
        <f>IF(N$4&lt;=核心参数输入!$B$9,$B$9*(1-N102),0)</f>
        <v>0</v>
      </c>
      <c r="O104" s="1">
        <f>IF(O$4&lt;=核心参数输入!$B$9,$B$9*(1-O102),0)</f>
        <v>0</v>
      </c>
      <c r="P104" s="1">
        <f>IF(P$4&lt;=核心参数输入!$B$9,$B$9*(1-P102),0)</f>
        <v>0</v>
      </c>
      <c r="Q104" s="1">
        <f>IF(Q$4&lt;=核心参数输入!$B$9,$B$9*(1-Q102),0)</f>
        <v>0</v>
      </c>
      <c r="R104" s="1">
        <f>IF(R$4&lt;=核心参数输入!$B$9,$B$9*(1-R102),0)</f>
        <v>0</v>
      </c>
      <c r="S104" s="1">
        <f>IF(S$4&lt;=核心参数输入!$B$9,$B$9*(1-S102),0)</f>
        <v>0</v>
      </c>
      <c r="T104" s="1">
        <f>IF(T$4&lt;=核心参数输入!$B$9,$B$9*(1-T102),0)</f>
        <v>0</v>
      </c>
      <c r="U104" s="1">
        <f>IF(U$4&lt;=核心参数输入!$B$9,$B$9*(1-U102),0)</f>
        <v>0</v>
      </c>
      <c r="V104" s="1">
        <f>IF(V$4&lt;=核心参数输入!$B$9,$B$9*(1-V102),0)</f>
        <v>0</v>
      </c>
      <c r="W104" s="1">
        <f>IF(W$4&lt;=核心参数输入!$B$9,$B$9*(1-W102),0)</f>
        <v>0</v>
      </c>
      <c r="X104" s="1">
        <f>IF(X$4&lt;=核心参数输入!$B$9,$B$9*(1-X102),0)</f>
        <v>0</v>
      </c>
      <c r="Y104" s="1">
        <f>IF(Y$4&lt;=核心参数输入!$B$9,$B$9*(1-Y102),0)</f>
        <v>0</v>
      </c>
      <c r="Z104" s="1">
        <f>IF(Z$4&lt;=核心参数输入!$B$9,$B$9*(1-Z102),0)</f>
        <v>0</v>
      </c>
      <c r="AA104" s="1">
        <f>IF(AA$4&lt;=核心参数输入!$B$9,$B$9*(1-AA102),0)</f>
        <v>0</v>
      </c>
      <c r="AB104" s="1">
        <f>IF(AB$4&lt;=核心参数输入!$B$9,$B$9*(1-AB102),0)</f>
        <v>0</v>
      </c>
      <c r="AC104" s="1">
        <f>IF(AC$4&lt;=核心参数输入!$B$9,$B$9*(1-AC102),0)</f>
        <v>0</v>
      </c>
      <c r="AD104" s="1">
        <f>IF(AD$4&lt;=核心参数输入!$B$9,$B$9*(1-AD102),0)</f>
        <v>0</v>
      </c>
      <c r="AE104" s="1">
        <f>IF(AE$4&lt;=核心参数输入!$B$9,$B$9*(1-AE102),0)</f>
        <v>0</v>
      </c>
      <c r="AF104" s="1">
        <f>IF(AF$4&lt;=核心参数输入!$B$9,$B$9*(1-AF102),0)</f>
        <v>0</v>
      </c>
      <c r="AG104" s="1">
        <f>IF(AG$4&lt;=核心参数输入!$B$9,$B$9*(1-AG102),0)</f>
        <v>0</v>
      </c>
      <c r="AH104" s="1">
        <f>IF(AH$4&lt;=核心参数输入!$B$9,$B$9*(1-AH102),0)</f>
        <v>0</v>
      </c>
    </row>
    <row r="105" spans="1:34" ht="21" customHeight="1">
      <c r="A105" s="11" t="s">
        <v>173</v>
      </c>
      <c r="B105" s="11" t="s">
        <v>19</v>
      </c>
      <c r="D105" s="12">
        <f>IF(D$4&lt;=核心参数输入!$B$9,IF(D$4&gt;=核心参数输入!$B$18,D$4-核心参数输入!$B$18+1,0),0)</f>
        <v>0</v>
      </c>
      <c r="E105" s="12">
        <f>IF(E$4&lt;=核心参数输入!$B$9,IF(E$4&gt;=核心参数输入!$B$18,E$4-核心参数输入!$B$18+1,0),0)</f>
        <v>0</v>
      </c>
      <c r="F105" s="12">
        <f>IF(F$4&lt;=核心参数输入!$B$9,IF(F$4&gt;=核心参数输入!$B$18,F$4-核心参数输入!$B$18+1,0),0)</f>
        <v>0</v>
      </c>
      <c r="G105" s="12">
        <f>IF(G$4&lt;=核心参数输入!$B$9,IF(G$4&gt;=核心参数输入!$B$18,G$4-核心参数输入!$B$18+1,0),0)</f>
        <v>0</v>
      </c>
      <c r="H105" s="12">
        <f>IF(H$4&lt;=核心参数输入!$B$9,IF(H$4&gt;=核心参数输入!$B$18,H$4-核心参数输入!$B$18+1,0),0)</f>
        <v>1</v>
      </c>
      <c r="I105" s="12">
        <f>IF(I$4&lt;=核心参数输入!$B$9,IF(I$4&gt;=核心参数输入!$B$18,I$4-核心参数输入!$B$18+1,0),0)</f>
        <v>2</v>
      </c>
      <c r="J105" s="12">
        <f>IF(J$4&lt;=核心参数输入!$B$9,IF(J$4&gt;=核心参数输入!$B$18,J$4-核心参数输入!$B$18+1,0),0)</f>
        <v>3</v>
      </c>
      <c r="K105" s="12">
        <f>IF(K$4&lt;=核心参数输入!$B$9,IF(K$4&gt;=核心参数输入!$B$18,K$4-核心参数输入!$B$18+1,0),0)</f>
        <v>4</v>
      </c>
      <c r="L105" s="12">
        <f>IF(L$4&lt;=核心参数输入!$B$9,IF(L$4&gt;=核心参数输入!$B$18,L$4-核心参数输入!$B$18+1,0),0)</f>
        <v>5</v>
      </c>
      <c r="M105" s="12">
        <f>IF(M$4&lt;=核心参数输入!$B$9,IF(M$4&gt;=核心参数输入!$B$18,M$4-核心参数输入!$B$18+1,0),0)</f>
        <v>6</v>
      </c>
      <c r="N105" s="12">
        <f>IF(N$4&lt;=核心参数输入!$B$9,IF(N$4&gt;=核心参数输入!$B$18,N$4-核心参数输入!$B$18+1,0),0)</f>
        <v>7</v>
      </c>
      <c r="O105" s="12">
        <f>IF(O$4&lt;=核心参数输入!$B$9,IF(O$4&gt;=核心参数输入!$B$18,O$4-核心参数输入!$B$18+1,0),0)</f>
        <v>8</v>
      </c>
      <c r="P105" s="12">
        <f>IF(P$4&lt;=核心参数输入!$B$9,IF(P$4&gt;=核心参数输入!$B$18,P$4-核心参数输入!$B$18+1,0),0)</f>
        <v>9</v>
      </c>
      <c r="Q105" s="12">
        <f>IF(Q$4&lt;=核心参数输入!$B$9,IF(Q$4&gt;=核心参数输入!$B$18,Q$4-核心参数输入!$B$18+1,0),0)</f>
        <v>10</v>
      </c>
      <c r="R105" s="12">
        <f>IF(R$4&lt;=核心参数输入!$B$9,IF(R$4&gt;=核心参数输入!$B$18,R$4-核心参数输入!$B$18+1,0),0)</f>
        <v>11</v>
      </c>
      <c r="S105" s="12">
        <f>IF(S$4&lt;=核心参数输入!$B$9,IF(S$4&gt;=核心参数输入!$B$18,S$4-核心参数输入!$B$18+1,0),0)</f>
        <v>12</v>
      </c>
      <c r="T105" s="12">
        <f>IF(T$4&lt;=核心参数输入!$B$9,IF(T$4&gt;=核心参数输入!$B$18,T$4-核心参数输入!$B$18+1,0),0)</f>
        <v>13</v>
      </c>
      <c r="U105" s="12">
        <f>IF(U$4&lt;=核心参数输入!$B$9,IF(U$4&gt;=核心参数输入!$B$18,U$4-核心参数输入!$B$18+1,0),0)</f>
        <v>14</v>
      </c>
      <c r="V105" s="12">
        <f>IF(V$4&lt;=核心参数输入!$B$9,IF(V$4&gt;=核心参数输入!$B$18,V$4-核心参数输入!$B$18+1,0),0)</f>
        <v>15</v>
      </c>
      <c r="W105" s="12">
        <f>IF(W$4&lt;=核心参数输入!$B$9,IF(W$4&gt;=核心参数输入!$B$18,W$4-核心参数输入!$B$18+1,0),0)</f>
        <v>16</v>
      </c>
      <c r="X105" s="12">
        <f>IF(X$4&lt;=核心参数输入!$B$9,IF(X$4&gt;=核心参数输入!$B$18,X$4-核心参数输入!$B$18+1,0),0)</f>
        <v>17</v>
      </c>
      <c r="Y105" s="12">
        <f>IF(Y$4&lt;=核心参数输入!$B$9,IF(Y$4&gt;=核心参数输入!$B$18,Y$4-核心参数输入!$B$18+1,0),0)</f>
        <v>0</v>
      </c>
      <c r="Z105" s="12">
        <f>IF(Z$4&lt;=核心参数输入!$B$9,IF(Z$4&gt;=核心参数输入!$B$18,Z$4-核心参数输入!$B$18+1,0),0)</f>
        <v>0</v>
      </c>
      <c r="AA105" s="12">
        <f>IF(AA$4&lt;=核心参数输入!$B$9,IF(AA$4&gt;=核心参数输入!$B$18,AA$4-核心参数输入!$B$18+1,0),0)</f>
        <v>0</v>
      </c>
      <c r="AB105" s="12">
        <f>IF(AB$4&lt;=核心参数输入!$B$9,IF(AB$4&gt;=核心参数输入!$B$18,AB$4-核心参数输入!$B$18+1,0),0)</f>
        <v>0</v>
      </c>
      <c r="AC105" s="12">
        <f>IF(AC$4&lt;=核心参数输入!$B$9,IF(AC$4&gt;=核心参数输入!$B$18,AC$4-核心参数输入!$B$18+1,0),0)</f>
        <v>0</v>
      </c>
      <c r="AD105" s="12">
        <f>IF(AD$4&lt;=核心参数输入!$B$9,IF(AD$4&gt;=核心参数输入!$B$18,AD$4-核心参数输入!$B$18+1,0),0)</f>
        <v>0</v>
      </c>
      <c r="AE105" s="12">
        <f>IF(AE$4&lt;=核心参数输入!$B$9,IF(AE$4&gt;=核心参数输入!$B$18,AE$4-核心参数输入!$B$18+1,0),0)</f>
        <v>0</v>
      </c>
      <c r="AF105" s="12">
        <f>IF(AF$4&lt;=核心参数输入!$B$9,IF(AF$4&gt;=核心参数输入!$B$18,AF$4-核心参数输入!$B$18+1,0),0)</f>
        <v>0</v>
      </c>
      <c r="AG105" s="12">
        <f>IF(AG$4&lt;=核心参数输入!$B$9,IF(AG$4&gt;=核心参数输入!$B$18,AG$4-核心参数输入!$B$18+1,0),0)</f>
        <v>0</v>
      </c>
      <c r="AH105" s="12">
        <f>IF(AH$4&lt;=核心参数输入!$B$9,IF(AH$4&gt;=核心参数输入!$B$18,AH$4-核心参数输入!$B$18+1,0),0)</f>
        <v>0</v>
      </c>
    </row>
    <row r="106" spans="1:34" ht="21" customHeight="1">
      <c r="A106" s="11" t="s">
        <v>174</v>
      </c>
      <c r="B106" s="11" t="s">
        <v>30</v>
      </c>
      <c r="D106" s="10">
        <f>IF(D$4&lt;=核心参数输入!$B$9,IF(D105=0,0,MAX(0,IF(D105=1,核心参数输入!$B$38,IF(D105=2,核心参数输入!$B$39,IF(D105=3,核心参数输入!$B$40,核心参数输入!$B$41)))-核心参数输入!$B$80/100)),0)</f>
        <v>0</v>
      </c>
      <c r="E106" s="10">
        <f>IF(E$4&lt;=核心参数输入!$B$9,IF(E105=0,0,MAX(0,IF(E105=1,核心参数输入!$B$38,IF(E105=2,核心参数输入!$B$39,IF(E105=3,核心参数输入!$B$40,核心参数输入!$B$41)))-核心参数输入!$B$80/100)),0)</f>
        <v>0</v>
      </c>
      <c r="F106" s="10">
        <f>IF(F$4&lt;=核心参数输入!$B$9,IF(F105=0,0,MAX(0,IF(F105=1,核心参数输入!$B$38,IF(F105=2,核心参数输入!$B$39,IF(F105=3,核心参数输入!$B$40,核心参数输入!$B$41)))-核心参数输入!$B$80/100)),0)</f>
        <v>0</v>
      </c>
      <c r="G106" s="10">
        <f>IF(G$4&lt;=核心参数输入!$B$9,IF(G105=0,0,MAX(0,IF(G105=1,核心参数输入!$B$38,IF(G105=2,核心参数输入!$B$39,IF(G105=3,核心参数输入!$B$40,核心参数输入!$B$41)))-核心参数输入!$B$80/100)),0)</f>
        <v>0</v>
      </c>
      <c r="H106" s="10">
        <f>IF(H$4&lt;=核心参数输入!$B$9,IF(H105=0,0,MAX(0,IF(H105=1,核心参数输入!$B$38,IF(H105=2,核心参数输入!$B$39,IF(H105=3,核心参数输入!$B$40,核心参数输入!$B$41)))-核心参数输入!$B$80/100)),0)</f>
        <v>0.4</v>
      </c>
      <c r="I106" s="10">
        <f>IF(I$4&lt;=核心参数输入!$B$9,IF(I105=0,0,MAX(0,IF(I105=1,核心参数输入!$B$38,IF(I105=2,核心参数输入!$B$39,IF(I105=3,核心参数输入!$B$40,核心参数输入!$B$41)))-核心参数输入!$B$80/100)),0)</f>
        <v>0.6</v>
      </c>
      <c r="J106" s="10">
        <f>IF(J$4&lt;=核心参数输入!$B$9,IF(J105=0,0,MAX(0,IF(J105=1,核心参数输入!$B$38,IF(J105=2,核心参数输入!$B$39,IF(J105=3,核心参数输入!$B$40,核心参数输入!$B$41)))-核心参数输入!$B$80/100)),0)</f>
        <v>0.75</v>
      </c>
      <c r="K106" s="10">
        <f>IF(K$4&lt;=核心参数输入!$B$9,IF(K105=0,0,MAX(0,IF(K105=1,核心参数输入!$B$38,IF(K105=2,核心参数输入!$B$39,IF(K105=3,核心参数输入!$B$40,核心参数输入!$B$41)))-核心参数输入!$B$80/100)),0)</f>
        <v>0.8</v>
      </c>
      <c r="L106" s="10">
        <f>IF(L$4&lt;=核心参数输入!$B$9,IF(L105=0,0,MAX(0,IF(L105=1,核心参数输入!$B$38,IF(L105=2,核心参数输入!$B$39,IF(L105=3,核心参数输入!$B$40,核心参数输入!$B$41)))-核心参数输入!$B$80/100)),0)</f>
        <v>0.8</v>
      </c>
      <c r="M106" s="10">
        <f>IF(M$4&lt;=核心参数输入!$B$9,IF(M105=0,0,MAX(0,IF(M105=1,核心参数输入!$B$38,IF(M105=2,核心参数输入!$B$39,IF(M105=3,核心参数输入!$B$40,核心参数输入!$B$41)))-核心参数输入!$B$80/100)),0)</f>
        <v>0.8</v>
      </c>
      <c r="N106" s="10">
        <f>IF(N$4&lt;=核心参数输入!$B$9,IF(N105=0,0,MAX(0,IF(N105=1,核心参数输入!$B$38,IF(N105=2,核心参数输入!$B$39,IF(N105=3,核心参数输入!$B$40,核心参数输入!$B$41)))-核心参数输入!$B$80/100)),0)</f>
        <v>0.8</v>
      </c>
      <c r="O106" s="10">
        <f>IF(O$4&lt;=核心参数输入!$B$9,IF(O105=0,0,MAX(0,IF(O105=1,核心参数输入!$B$38,IF(O105=2,核心参数输入!$B$39,IF(O105=3,核心参数输入!$B$40,核心参数输入!$B$41)))-核心参数输入!$B$80/100)),0)</f>
        <v>0.8</v>
      </c>
      <c r="P106" s="10">
        <f>IF(P$4&lt;=核心参数输入!$B$9,IF(P105=0,0,MAX(0,IF(P105=1,核心参数输入!$B$38,IF(P105=2,核心参数输入!$B$39,IF(P105=3,核心参数输入!$B$40,核心参数输入!$B$41)))-核心参数输入!$B$80/100)),0)</f>
        <v>0.8</v>
      </c>
      <c r="Q106" s="10">
        <f>IF(Q$4&lt;=核心参数输入!$B$9,IF(Q105=0,0,MAX(0,IF(Q105=1,核心参数输入!$B$38,IF(Q105=2,核心参数输入!$B$39,IF(Q105=3,核心参数输入!$B$40,核心参数输入!$B$41)))-核心参数输入!$B$80/100)),0)</f>
        <v>0.8</v>
      </c>
      <c r="R106" s="10">
        <f>IF(R$4&lt;=核心参数输入!$B$9,IF(R105=0,0,MAX(0,IF(R105=1,核心参数输入!$B$38,IF(R105=2,核心参数输入!$B$39,IF(R105=3,核心参数输入!$B$40,核心参数输入!$B$41)))-核心参数输入!$B$80/100)),0)</f>
        <v>0.8</v>
      </c>
      <c r="S106" s="10">
        <f>IF(S$4&lt;=核心参数输入!$B$9,IF(S105=0,0,MAX(0,IF(S105=1,核心参数输入!$B$38,IF(S105=2,核心参数输入!$B$39,IF(S105=3,核心参数输入!$B$40,核心参数输入!$B$41)))-核心参数输入!$B$80/100)),0)</f>
        <v>0.8</v>
      </c>
      <c r="T106" s="10">
        <f>IF(T$4&lt;=核心参数输入!$B$9,IF(T105=0,0,MAX(0,IF(T105=1,核心参数输入!$B$38,IF(T105=2,核心参数输入!$B$39,IF(T105=3,核心参数输入!$B$40,核心参数输入!$B$41)))-核心参数输入!$B$80/100)),0)</f>
        <v>0.8</v>
      </c>
      <c r="U106" s="10">
        <f>IF(U$4&lt;=核心参数输入!$B$9,IF(U105=0,0,MAX(0,IF(U105=1,核心参数输入!$B$38,IF(U105=2,核心参数输入!$B$39,IF(U105=3,核心参数输入!$B$40,核心参数输入!$B$41)))-核心参数输入!$B$80/100)),0)</f>
        <v>0.8</v>
      </c>
      <c r="V106" s="10">
        <f>IF(V$4&lt;=核心参数输入!$B$9,IF(V105=0,0,MAX(0,IF(V105=1,核心参数输入!$B$38,IF(V105=2,核心参数输入!$B$39,IF(V105=3,核心参数输入!$B$40,核心参数输入!$B$41)))-核心参数输入!$B$80/100)),0)</f>
        <v>0.8</v>
      </c>
      <c r="W106" s="10">
        <f>IF(W$4&lt;=核心参数输入!$B$9,IF(W105=0,0,MAX(0,IF(W105=1,核心参数输入!$B$38,IF(W105=2,核心参数输入!$B$39,IF(W105=3,核心参数输入!$B$40,核心参数输入!$B$41)))-核心参数输入!$B$80/100)),0)</f>
        <v>0.8</v>
      </c>
      <c r="X106" s="10">
        <f>IF(X$4&lt;=核心参数输入!$B$9,IF(X105=0,0,MAX(0,IF(X105=1,核心参数输入!$B$38,IF(X105=2,核心参数输入!$B$39,IF(X105=3,核心参数输入!$B$40,核心参数输入!$B$41)))-核心参数输入!$B$80/100)),0)</f>
        <v>0.8</v>
      </c>
      <c r="Y106" s="10">
        <f>IF(Y$4&lt;=核心参数输入!$B$9,IF(Y105=0,0,MAX(0,IF(Y105=1,核心参数输入!$B$38,IF(Y105=2,核心参数输入!$B$39,IF(Y105=3,核心参数输入!$B$40,核心参数输入!$B$41)))-核心参数输入!$B$80/100)),0)</f>
        <v>0</v>
      </c>
      <c r="Z106" s="10">
        <f>IF(Z$4&lt;=核心参数输入!$B$9,IF(Z105=0,0,MAX(0,IF(Z105=1,核心参数输入!$B$38,IF(Z105=2,核心参数输入!$B$39,IF(Z105=3,核心参数输入!$B$40,核心参数输入!$B$41)))-核心参数输入!$B$80/100)),0)</f>
        <v>0</v>
      </c>
      <c r="AA106" s="10">
        <f>IF(AA$4&lt;=核心参数输入!$B$9,IF(AA105=0,0,MAX(0,IF(AA105=1,核心参数输入!$B$38,IF(AA105=2,核心参数输入!$B$39,IF(AA105=3,核心参数输入!$B$40,核心参数输入!$B$41)))-核心参数输入!$B$80/100)),0)</f>
        <v>0</v>
      </c>
      <c r="AB106" s="10">
        <f>IF(AB$4&lt;=核心参数输入!$B$9,IF(AB105=0,0,MAX(0,IF(AB105=1,核心参数输入!$B$38,IF(AB105=2,核心参数输入!$B$39,IF(AB105=3,核心参数输入!$B$40,核心参数输入!$B$41)))-核心参数输入!$B$80/100)),0)</f>
        <v>0</v>
      </c>
      <c r="AC106" s="10">
        <f>IF(AC$4&lt;=核心参数输入!$B$9,IF(AC105=0,0,MAX(0,IF(AC105=1,核心参数输入!$B$38,IF(AC105=2,核心参数输入!$B$39,IF(AC105=3,核心参数输入!$B$40,核心参数输入!$B$41)))-核心参数输入!$B$80/100)),0)</f>
        <v>0</v>
      </c>
      <c r="AD106" s="10">
        <f>IF(AD$4&lt;=核心参数输入!$B$9,IF(AD105=0,0,MAX(0,IF(AD105=1,核心参数输入!$B$38,IF(AD105=2,核心参数输入!$B$39,IF(AD105=3,核心参数输入!$B$40,核心参数输入!$B$41)))-核心参数输入!$B$80/100)),0)</f>
        <v>0</v>
      </c>
      <c r="AE106" s="10">
        <f>IF(AE$4&lt;=核心参数输入!$B$9,IF(AE105=0,0,MAX(0,IF(AE105=1,核心参数输入!$B$38,IF(AE105=2,核心参数输入!$B$39,IF(AE105=3,核心参数输入!$B$40,核心参数输入!$B$41)))-核心参数输入!$B$80/100)),0)</f>
        <v>0</v>
      </c>
      <c r="AF106" s="10">
        <f>IF(AF$4&lt;=核心参数输入!$B$9,IF(AF105=0,0,MAX(0,IF(AF105=1,核心参数输入!$B$38,IF(AF105=2,核心参数输入!$B$39,IF(AF105=3,核心参数输入!$B$40,核心参数输入!$B$41)))-核心参数输入!$B$80/100)),0)</f>
        <v>0</v>
      </c>
      <c r="AG106" s="10">
        <f>IF(AG$4&lt;=核心参数输入!$B$9,IF(AG105=0,0,MAX(0,IF(AG105=1,核心参数输入!$B$38,IF(AG105=2,核心参数输入!$B$39,IF(AG105=3,核心参数输入!$B$40,核心参数输入!$B$41)))-核心参数输入!$B$80/100)),0)</f>
        <v>0</v>
      </c>
      <c r="AH106" s="10">
        <f>IF(AH$4&lt;=核心参数输入!$B$9,IF(AH105=0,0,MAX(0,IF(AH105=1,核心参数输入!$B$38,IF(AH105=2,核心参数输入!$B$39,IF(AH105=3,核心参数输入!$B$40,核心参数输入!$B$41)))-核心参数输入!$B$80/100)),0)</f>
        <v>0</v>
      </c>
    </row>
    <row r="107" spans="1:34" ht="21" customHeight="1">
      <c r="A107" s="11" t="s">
        <v>175</v>
      </c>
      <c r="B107" s="11" t="s">
        <v>24</v>
      </c>
      <c r="D107" s="1">
        <f>IF(D$4&lt;=核心参数输入!$B$9,$B$10*D106,0)</f>
        <v>0</v>
      </c>
      <c r="E107" s="1">
        <f>IF(E$4&lt;=核心参数输入!$B$9,$B$10*E106,0)</f>
        <v>0</v>
      </c>
      <c r="F107" s="1">
        <f>IF(F$4&lt;=核心参数输入!$B$9,$B$10*F106,0)</f>
        <v>0</v>
      </c>
      <c r="G107" s="1">
        <f>IF(G$4&lt;=核心参数输入!$B$9,$B$10*G106,0)</f>
        <v>0</v>
      </c>
      <c r="H107" s="1">
        <f>IF(H$4&lt;=核心参数输入!$B$9,$B$10*H106,0)</f>
        <v>24300</v>
      </c>
      <c r="I107" s="1">
        <f>IF(I$4&lt;=核心参数输入!$B$9,$B$10*I106,0)</f>
        <v>36449.999999999993</v>
      </c>
      <c r="J107" s="1">
        <f>IF(J$4&lt;=核心参数输入!$B$9,$B$10*J106,0)</f>
        <v>45562.499999999993</v>
      </c>
      <c r="K107" s="1">
        <f>IF(K$4&lt;=核心参数输入!$B$9,$B$10*K106,0)</f>
        <v>48600</v>
      </c>
      <c r="L107" s="1">
        <f>IF(L$4&lt;=核心参数输入!$B$9,$B$10*L106,0)</f>
        <v>48600</v>
      </c>
      <c r="M107" s="1">
        <f>IF(M$4&lt;=核心参数输入!$B$9,$B$10*M106,0)</f>
        <v>48600</v>
      </c>
      <c r="N107" s="1">
        <f>IF(N$4&lt;=核心参数输入!$B$9,$B$10*N106,0)</f>
        <v>48600</v>
      </c>
      <c r="O107" s="1">
        <f>IF(O$4&lt;=核心参数输入!$B$9,$B$10*O106,0)</f>
        <v>48600</v>
      </c>
      <c r="P107" s="1">
        <f>IF(P$4&lt;=核心参数输入!$B$9,$B$10*P106,0)</f>
        <v>48600</v>
      </c>
      <c r="Q107" s="1">
        <f>IF(Q$4&lt;=核心参数输入!$B$9,$B$10*Q106,0)</f>
        <v>48600</v>
      </c>
      <c r="R107" s="1">
        <f>IF(R$4&lt;=核心参数输入!$B$9,$B$10*R106,0)</f>
        <v>48600</v>
      </c>
      <c r="S107" s="1">
        <f>IF(S$4&lt;=核心参数输入!$B$9,$B$10*S106,0)</f>
        <v>48600</v>
      </c>
      <c r="T107" s="1">
        <f>IF(T$4&lt;=核心参数输入!$B$9,$B$10*T106,0)</f>
        <v>48600</v>
      </c>
      <c r="U107" s="1">
        <f>IF(U$4&lt;=核心参数输入!$B$9,$B$10*U106,0)</f>
        <v>48600</v>
      </c>
      <c r="V107" s="1">
        <f>IF(V$4&lt;=核心参数输入!$B$9,$B$10*V106,0)</f>
        <v>48600</v>
      </c>
      <c r="W107" s="1">
        <f>IF(W$4&lt;=核心参数输入!$B$9,$B$10*W106,0)</f>
        <v>48600</v>
      </c>
      <c r="X107" s="1">
        <f>IF(X$4&lt;=核心参数输入!$B$9,$B$10*X106,0)</f>
        <v>48600</v>
      </c>
      <c r="Y107" s="1">
        <f>IF(Y$4&lt;=核心参数输入!$B$9,$B$10*Y106,0)</f>
        <v>0</v>
      </c>
      <c r="Z107" s="1">
        <f>IF(Z$4&lt;=核心参数输入!$B$9,$B$10*Z106,0)</f>
        <v>0</v>
      </c>
      <c r="AA107" s="1">
        <f>IF(AA$4&lt;=核心参数输入!$B$9,$B$10*AA106,0)</f>
        <v>0</v>
      </c>
      <c r="AB107" s="1">
        <f>IF(AB$4&lt;=核心参数输入!$B$9,$B$10*AB106,0)</f>
        <v>0</v>
      </c>
      <c r="AC107" s="1">
        <f>IF(AC$4&lt;=核心参数输入!$B$9,$B$10*AC106,0)</f>
        <v>0</v>
      </c>
      <c r="AD107" s="1">
        <f>IF(AD$4&lt;=核心参数输入!$B$9,$B$10*AD106,0)</f>
        <v>0</v>
      </c>
      <c r="AE107" s="1">
        <f>IF(AE$4&lt;=核心参数输入!$B$9,$B$10*AE106,0)</f>
        <v>0</v>
      </c>
      <c r="AF107" s="1">
        <f>IF(AF$4&lt;=核心参数输入!$B$9,$B$10*AF106,0)</f>
        <v>0</v>
      </c>
      <c r="AG107" s="1">
        <f>IF(AG$4&lt;=核心参数输入!$B$9,$B$10*AG106,0)</f>
        <v>0</v>
      </c>
      <c r="AH107" s="1">
        <f>IF(AH$4&lt;=核心参数输入!$B$9,$B$10*AH106,0)</f>
        <v>0</v>
      </c>
    </row>
    <row r="108" spans="1:34" ht="21" customHeight="1">
      <c r="A108" s="11" t="s">
        <v>176</v>
      </c>
      <c r="B108" s="11" t="s">
        <v>24</v>
      </c>
      <c r="D108" s="1">
        <f>IF(D$4&lt;=核心参数输入!$B$9,MAX(0,D107-0),0)</f>
        <v>0</v>
      </c>
      <c r="E108" s="1">
        <f>IF(E$4&lt;=核心参数输入!$B$9,MAX(0,E107-D107),0)</f>
        <v>0</v>
      </c>
      <c r="F108" s="1">
        <f>IF(F$4&lt;=核心参数输入!$B$9,MAX(0,F107-E107),0)</f>
        <v>0</v>
      </c>
      <c r="G108" s="1">
        <f>IF(G$4&lt;=核心参数输入!$B$9,MAX(0,G107-F107),0)</f>
        <v>0</v>
      </c>
      <c r="H108" s="1">
        <f>IF(H$4&lt;=核心参数输入!$B$9,MAX(0,H107-G107),0)</f>
        <v>24300</v>
      </c>
      <c r="I108" s="1">
        <f>IF(I$4&lt;=核心参数输入!$B$9,MAX(0,I107-H107),0)</f>
        <v>12149.999999999993</v>
      </c>
      <c r="J108" s="1">
        <f>IF(J$4&lt;=核心参数输入!$B$9,MAX(0,J107-I107),0)</f>
        <v>9112.5</v>
      </c>
      <c r="K108" s="1">
        <f>IF(K$4&lt;=核心参数输入!$B$9,MAX(0,K107-J107),0)</f>
        <v>3037.5000000000073</v>
      </c>
      <c r="L108" s="1">
        <f>IF(L$4&lt;=核心参数输入!$B$9,MAX(0,L107-K107),0)</f>
        <v>0</v>
      </c>
      <c r="M108" s="1">
        <f>IF(M$4&lt;=核心参数输入!$B$9,MAX(0,M107-L107),0)</f>
        <v>0</v>
      </c>
      <c r="N108" s="1">
        <f>IF(N$4&lt;=核心参数输入!$B$9,MAX(0,N107-M107),0)</f>
        <v>0</v>
      </c>
      <c r="O108" s="1">
        <f>IF(O$4&lt;=核心参数输入!$B$9,MAX(0,O107-N107),0)</f>
        <v>0</v>
      </c>
      <c r="P108" s="1">
        <f>IF(P$4&lt;=核心参数输入!$B$9,MAX(0,P107-O107),0)</f>
        <v>0</v>
      </c>
      <c r="Q108" s="1">
        <f>IF(Q$4&lt;=核心参数输入!$B$9,MAX(0,Q107-P107),0)</f>
        <v>0</v>
      </c>
      <c r="R108" s="1">
        <f>IF(R$4&lt;=核心参数输入!$B$9,MAX(0,R107-Q107),0)</f>
        <v>0</v>
      </c>
      <c r="S108" s="1">
        <f>IF(S$4&lt;=核心参数输入!$B$9,MAX(0,S107-R107),0)</f>
        <v>0</v>
      </c>
      <c r="T108" s="1">
        <f>IF(T$4&lt;=核心参数输入!$B$9,MAX(0,T107-S107),0)</f>
        <v>0</v>
      </c>
      <c r="U108" s="1">
        <f>IF(U$4&lt;=核心参数输入!$B$9,MAX(0,U107-T107),0)</f>
        <v>0</v>
      </c>
      <c r="V108" s="1">
        <f>IF(V$4&lt;=核心参数输入!$B$9,MAX(0,V107-U107),0)</f>
        <v>0</v>
      </c>
      <c r="W108" s="1">
        <f>IF(W$4&lt;=核心参数输入!$B$9,MAX(0,W107-V107),0)</f>
        <v>0</v>
      </c>
      <c r="X108" s="1">
        <f>IF(X$4&lt;=核心参数输入!$B$9,MAX(0,X107-W107),0)</f>
        <v>0</v>
      </c>
      <c r="Y108" s="1">
        <f>IF(Y$4&lt;=核心参数输入!$B$9,MAX(0,Y107-X107),0)</f>
        <v>0</v>
      </c>
      <c r="Z108" s="1">
        <f>IF(Z$4&lt;=核心参数输入!$B$9,MAX(0,Z107-Y107),0)</f>
        <v>0</v>
      </c>
      <c r="AA108" s="1">
        <f>IF(AA$4&lt;=核心参数输入!$B$9,MAX(0,AA107-Z107),0)</f>
        <v>0</v>
      </c>
      <c r="AB108" s="1">
        <f>IF(AB$4&lt;=核心参数输入!$B$9,MAX(0,AB107-AA107),0)</f>
        <v>0</v>
      </c>
      <c r="AC108" s="1">
        <f>IF(AC$4&lt;=核心参数输入!$B$9,MAX(0,AC107-AB107),0)</f>
        <v>0</v>
      </c>
      <c r="AD108" s="1">
        <f>IF(AD$4&lt;=核心参数输入!$B$9,MAX(0,AD107-AC107),0)</f>
        <v>0</v>
      </c>
      <c r="AE108" s="1">
        <f>IF(AE$4&lt;=核心参数输入!$B$9,MAX(0,AE107-AD107),0)</f>
        <v>0</v>
      </c>
      <c r="AF108" s="1">
        <f>IF(AF$4&lt;=核心参数输入!$B$9,MAX(0,AF107-AE107),0)</f>
        <v>0</v>
      </c>
      <c r="AG108" s="1">
        <f>IF(AG$4&lt;=核心参数输入!$B$9,MAX(0,AG107-AF107),0)</f>
        <v>0</v>
      </c>
      <c r="AH108" s="1">
        <f>IF(AH$4&lt;=核心参数输入!$B$9,MAX(0,AH107-AG107),0)</f>
        <v>0</v>
      </c>
    </row>
    <row r="109" spans="1:34" ht="21" customHeight="1">
      <c r="A109" s="11" t="s">
        <v>177</v>
      </c>
      <c r="B109" s="11" t="s">
        <v>178</v>
      </c>
      <c r="D109" s="1">
        <f>IF(D$4&lt;=核心参数输入!$B$9,IF(D102&gt;=0.999999,1,0),0)</f>
        <v>0</v>
      </c>
      <c r="E109" s="1">
        <f>IF(E$4&lt;=核心参数输入!$B$9,IF(E102&gt;=0.999999,1,0),0)</f>
        <v>0</v>
      </c>
      <c r="F109" s="1">
        <f>IF(F$4&lt;=核心参数输入!$B$9,IF(F102&gt;=0.999999,1,0),0)</f>
        <v>0</v>
      </c>
      <c r="G109" s="1">
        <f>IF(G$4&lt;=核心参数输入!$B$9,IF(G102&gt;=0.999999,1,0),0)</f>
        <v>0</v>
      </c>
      <c r="H109" s="1">
        <f>IF(H$4&lt;=核心参数输入!$B$9,IF(H102&gt;=0.999999,1,0),0)</f>
        <v>0</v>
      </c>
      <c r="I109" s="1">
        <f>IF(I$4&lt;=核心参数输入!$B$9,IF(I102&gt;=0.999999,1,0),0)</f>
        <v>0</v>
      </c>
      <c r="J109" s="1">
        <f>IF(J$4&lt;=核心参数输入!$B$9,IF(J102&gt;=0.999999,1,0),0)</f>
        <v>1</v>
      </c>
      <c r="K109" s="1">
        <f>IF(K$4&lt;=核心参数输入!$B$9,IF(K102&gt;=0.999999,1,0),0)</f>
        <v>1</v>
      </c>
      <c r="L109" s="1">
        <f>IF(L$4&lt;=核心参数输入!$B$9,IF(L102&gt;=0.999999,1,0),0)</f>
        <v>1</v>
      </c>
      <c r="M109" s="1">
        <f>IF(M$4&lt;=核心参数输入!$B$9,IF(M102&gt;=0.999999,1,0),0)</f>
        <v>1</v>
      </c>
      <c r="N109" s="1">
        <f>IF(N$4&lt;=核心参数输入!$B$9,IF(N102&gt;=0.999999,1,0),0)</f>
        <v>1</v>
      </c>
      <c r="O109" s="1">
        <f>IF(O$4&lt;=核心参数输入!$B$9,IF(O102&gt;=0.999999,1,0),0)</f>
        <v>1</v>
      </c>
      <c r="P109" s="1">
        <f>IF(P$4&lt;=核心参数输入!$B$9,IF(P102&gt;=0.999999,1,0),0)</f>
        <v>1</v>
      </c>
      <c r="Q109" s="1">
        <f>IF(Q$4&lt;=核心参数输入!$B$9,IF(Q102&gt;=0.999999,1,0),0)</f>
        <v>1</v>
      </c>
      <c r="R109" s="1">
        <f>IF(R$4&lt;=核心参数输入!$B$9,IF(R102&gt;=0.999999,1,0),0)</f>
        <v>1</v>
      </c>
      <c r="S109" s="1">
        <f>IF(S$4&lt;=核心参数输入!$B$9,IF(S102&gt;=0.999999,1,0),0)</f>
        <v>1</v>
      </c>
      <c r="T109" s="1">
        <f>IF(T$4&lt;=核心参数输入!$B$9,IF(T102&gt;=0.999999,1,0),0)</f>
        <v>1</v>
      </c>
      <c r="U109" s="1">
        <f>IF(U$4&lt;=核心参数输入!$B$9,IF(U102&gt;=0.999999,1,0),0)</f>
        <v>1</v>
      </c>
      <c r="V109" s="1">
        <f>IF(V$4&lt;=核心参数输入!$B$9,IF(V102&gt;=0.999999,1,0),0)</f>
        <v>1</v>
      </c>
      <c r="W109" s="1">
        <f>IF(W$4&lt;=核心参数输入!$B$9,IF(W102&gt;=0.999999,1,0),0)</f>
        <v>1</v>
      </c>
      <c r="X109" s="1">
        <f>IF(X$4&lt;=核心参数输入!$B$9,IF(X102&gt;=0.999999,1,0),0)</f>
        <v>1</v>
      </c>
      <c r="Y109" s="1">
        <f>IF(Y$4&lt;=核心参数输入!$B$9,IF(Y102&gt;=0.999999,1,0),0)</f>
        <v>0</v>
      </c>
      <c r="Z109" s="1">
        <f>IF(Z$4&lt;=核心参数输入!$B$9,IF(Z102&gt;=0.999999,1,0),0)</f>
        <v>0</v>
      </c>
      <c r="AA109" s="1">
        <f>IF(AA$4&lt;=核心参数输入!$B$9,IF(AA102&gt;=0.999999,1,0),0)</f>
        <v>0</v>
      </c>
      <c r="AB109" s="1">
        <f>IF(AB$4&lt;=核心参数输入!$B$9,IF(AB102&gt;=0.999999,1,0),0)</f>
        <v>0</v>
      </c>
      <c r="AC109" s="1">
        <f>IF(AC$4&lt;=核心参数输入!$B$9,IF(AC102&gt;=0.999999,1,0),0)</f>
        <v>0</v>
      </c>
      <c r="AD109" s="1">
        <f>IF(AD$4&lt;=核心参数输入!$B$9,IF(AD102&gt;=0.999999,1,0),0)</f>
        <v>0</v>
      </c>
      <c r="AE109" s="1">
        <f>IF(AE$4&lt;=核心参数输入!$B$9,IF(AE102&gt;=0.999999,1,0),0)</f>
        <v>0</v>
      </c>
      <c r="AF109" s="1">
        <f>IF(AF$4&lt;=核心参数输入!$B$9,IF(AF102&gt;=0.999999,1,0),0)</f>
        <v>0</v>
      </c>
      <c r="AG109" s="1">
        <f>IF(AG$4&lt;=核心参数输入!$B$9,IF(AG102&gt;=0.999999,1,0),0)</f>
        <v>0</v>
      </c>
      <c r="AH109" s="1">
        <f>IF(AH$4&lt;=核心参数输入!$B$9,IF(AH102&gt;=0.999999,1,0),0)</f>
        <v>0</v>
      </c>
    </row>
  </sheetData>
  <mergeCells count="2">
    <mergeCell ref="A18:AH18"/>
    <mergeCell ref="A98:AH98"/>
  </mergeCells>
  <phoneticPr fontId="7" type="noConversion"/>
  <pageMargins left="0.25" right="0.25" top="0.4" bottom="0.4" header="0.3" footer="0.3"/>
  <pageSetup paperSize="9" scale="22" fitToHeight="0" orientation="landscape" r:id="rId1"/>
  <headerFooter>
    <oddFooter>&amp;L模拟数据 · 学习用途&amp;C&amp;P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AH115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48.75" style="11" customWidth="1"/>
    <col min="2" max="2" width="17.75" style="1" customWidth="1"/>
    <col min="3" max="3" width="12.75" style="11" customWidth="1"/>
    <col min="4" max="34" width="15.75" style="1" customWidth="1"/>
  </cols>
  <sheetData>
    <row r="2" spans="1:34" ht="29.1" customHeight="1">
      <c r="A2" s="2" t="s">
        <v>3</v>
      </c>
    </row>
    <row r="3" spans="1:34" ht="21" customHeight="1">
      <c r="A3" s="3" t="s">
        <v>180</v>
      </c>
    </row>
    <row r="4" spans="1:34" ht="21" customHeight="1">
      <c r="A4" s="5" t="s">
        <v>162</v>
      </c>
      <c r="D4" s="5">
        <f>核心参数输入!D87</f>
        <v>0</v>
      </c>
      <c r="E4" s="5">
        <f>核心参数输入!E87</f>
        <v>1</v>
      </c>
      <c r="F4" s="5">
        <f>核心参数输入!F87</f>
        <v>2</v>
      </c>
      <c r="G4" s="5">
        <f>核心参数输入!G87</f>
        <v>3</v>
      </c>
      <c r="H4" s="5">
        <f>核心参数输入!H87</f>
        <v>4</v>
      </c>
      <c r="I4" s="5">
        <f>核心参数输入!I87</f>
        <v>5</v>
      </c>
      <c r="J4" s="5">
        <f>核心参数输入!J87</f>
        <v>6</v>
      </c>
      <c r="K4" s="5">
        <f>核心参数输入!K87</f>
        <v>7</v>
      </c>
      <c r="L4" s="5">
        <f>核心参数输入!L87</f>
        <v>8</v>
      </c>
      <c r="M4" s="5">
        <f>核心参数输入!M87</f>
        <v>9</v>
      </c>
      <c r="N4" s="5">
        <f>核心参数输入!N87</f>
        <v>10</v>
      </c>
      <c r="O4" s="5">
        <f>核心参数输入!O87</f>
        <v>11</v>
      </c>
      <c r="P4" s="5">
        <f>核心参数输入!P87</f>
        <v>12</v>
      </c>
      <c r="Q4" s="5">
        <f>核心参数输入!Q87</f>
        <v>13</v>
      </c>
      <c r="R4" s="5">
        <f>核心参数输入!R87</f>
        <v>14</v>
      </c>
      <c r="S4" s="5">
        <f>核心参数输入!S87</f>
        <v>15</v>
      </c>
      <c r="T4" s="5">
        <f>核心参数输入!T87</f>
        <v>16</v>
      </c>
      <c r="U4" s="5">
        <f>核心参数输入!U87</f>
        <v>17</v>
      </c>
      <c r="V4" s="5">
        <f>核心参数输入!V87</f>
        <v>18</v>
      </c>
      <c r="W4" s="5">
        <f>核心参数输入!W87</f>
        <v>19</v>
      </c>
      <c r="X4" s="5">
        <f>核心参数输入!X87</f>
        <v>20</v>
      </c>
      <c r="Y4" s="5">
        <f>核心参数输入!Y87</f>
        <v>21</v>
      </c>
      <c r="Z4" s="5">
        <f>核心参数输入!Z87</f>
        <v>22</v>
      </c>
      <c r="AA4" s="5">
        <f>核心参数输入!AA87</f>
        <v>23</v>
      </c>
      <c r="AB4" s="5">
        <f>核心参数输入!AB87</f>
        <v>24</v>
      </c>
      <c r="AC4" s="5">
        <f>核心参数输入!AC87</f>
        <v>25</v>
      </c>
      <c r="AD4" s="5">
        <f>核心参数输入!AD87</f>
        <v>26</v>
      </c>
      <c r="AE4" s="5">
        <f>核心参数输入!AE87</f>
        <v>27</v>
      </c>
      <c r="AF4" s="5">
        <f>核心参数输入!AF87</f>
        <v>28</v>
      </c>
      <c r="AG4" s="5">
        <f>核心参数输入!AG87</f>
        <v>29</v>
      </c>
      <c r="AH4" s="5">
        <f>核心参数输入!AH87</f>
        <v>30</v>
      </c>
    </row>
    <row r="5" spans="1:34" ht="21" customHeight="1">
      <c r="D5" s="12">
        <f>核心参数输入!$B$8+D4</f>
        <v>2026</v>
      </c>
      <c r="E5" s="12">
        <f>核心参数输入!$B$8+E4</f>
        <v>2027</v>
      </c>
      <c r="F5" s="12">
        <f>核心参数输入!$B$8+F4</f>
        <v>2028</v>
      </c>
      <c r="G5" s="12">
        <f>核心参数输入!$B$8+G4</f>
        <v>2029</v>
      </c>
      <c r="H5" s="12">
        <f>核心参数输入!$B$8+H4</f>
        <v>2030</v>
      </c>
      <c r="I5" s="12">
        <f>核心参数输入!$B$8+I4</f>
        <v>2031</v>
      </c>
      <c r="J5" s="12">
        <f>核心参数输入!$B$8+J4</f>
        <v>2032</v>
      </c>
      <c r="K5" s="12">
        <f>核心参数输入!$B$8+K4</f>
        <v>2033</v>
      </c>
      <c r="L5" s="12">
        <f>核心参数输入!$B$8+L4</f>
        <v>2034</v>
      </c>
      <c r="M5" s="12">
        <f>核心参数输入!$B$8+M4</f>
        <v>2035</v>
      </c>
      <c r="N5" s="12">
        <f>核心参数输入!$B$8+N4</f>
        <v>2036</v>
      </c>
      <c r="O5" s="12">
        <f>核心参数输入!$B$8+O4</f>
        <v>2037</v>
      </c>
      <c r="P5" s="12">
        <f>核心参数输入!$B$8+P4</f>
        <v>2038</v>
      </c>
      <c r="Q5" s="12">
        <f>核心参数输入!$B$8+Q4</f>
        <v>2039</v>
      </c>
      <c r="R5" s="12">
        <f>核心参数输入!$B$8+R4</f>
        <v>2040</v>
      </c>
      <c r="S5" s="12">
        <f>核心参数输入!$B$8+S4</f>
        <v>2041</v>
      </c>
      <c r="T5" s="12">
        <f>核心参数输入!$B$8+T4</f>
        <v>2042</v>
      </c>
      <c r="U5" s="12">
        <f>核心参数输入!$B$8+U4</f>
        <v>2043</v>
      </c>
      <c r="V5" s="12">
        <f>核心参数输入!$B$8+V4</f>
        <v>2044</v>
      </c>
      <c r="W5" s="12">
        <f>核心参数输入!$B$8+W4</f>
        <v>2045</v>
      </c>
      <c r="X5" s="12">
        <f>核心参数输入!$B$8+X4</f>
        <v>2046</v>
      </c>
      <c r="Y5" s="12">
        <f>核心参数输入!$B$8+Y4</f>
        <v>2047</v>
      </c>
      <c r="Z5" s="12">
        <f>核心参数输入!$B$8+Z4</f>
        <v>2048</v>
      </c>
      <c r="AA5" s="12">
        <f>核心参数输入!$B$8+AA4</f>
        <v>2049</v>
      </c>
      <c r="AB5" s="12">
        <f>核心参数输入!$B$8+AB4</f>
        <v>2050</v>
      </c>
      <c r="AC5" s="12">
        <f>核心参数输入!$B$8+AC4</f>
        <v>2051</v>
      </c>
      <c r="AD5" s="12">
        <f>核心参数输入!$B$8+AD4</f>
        <v>2052</v>
      </c>
      <c r="AE5" s="12">
        <f>核心参数输入!$B$8+AE4</f>
        <v>2053</v>
      </c>
      <c r="AF5" s="12">
        <f>核心参数输入!$B$8+AF4</f>
        <v>2054</v>
      </c>
      <c r="AG5" s="12">
        <f>核心参数输入!$B$8+AG4</f>
        <v>2055</v>
      </c>
      <c r="AH5" s="12">
        <f>核心参数输入!$B$8+AH4</f>
        <v>2056</v>
      </c>
    </row>
    <row r="6" spans="1:34" ht="21" customHeight="1">
      <c r="A6" s="11" t="s">
        <v>181</v>
      </c>
      <c r="B6" s="1">
        <f>核心参数输入!$B$10*核心参数输入!$B$21/10000</f>
        <v>8000</v>
      </c>
      <c r="C6" s="11" t="s">
        <v>54</v>
      </c>
    </row>
    <row r="7" spans="1:34" ht="21" customHeight="1">
      <c r="A7" s="11" t="s">
        <v>182</v>
      </c>
      <c r="B7" s="1">
        <f>建筑面积与开发计划!$B$7*核心参数输入!$B$22/10000*1</f>
        <v>36000</v>
      </c>
      <c r="C7" s="11" t="s">
        <v>54</v>
      </c>
    </row>
    <row r="8" spans="1:34" ht="21" customHeight="1">
      <c r="A8" s="11" t="s">
        <v>183</v>
      </c>
      <c r="B8" s="1">
        <f>核心参数输入!$B$13*核心参数输入!$B$23/10000*1</f>
        <v>4500</v>
      </c>
      <c r="C8" s="11" t="s">
        <v>54</v>
      </c>
    </row>
    <row r="9" spans="1:34" ht="21" customHeight="1">
      <c r="A9" s="11" t="s">
        <v>184</v>
      </c>
      <c r="B9" s="1">
        <f>核心参数输入!$B$24*1</f>
        <v>4500</v>
      </c>
      <c r="C9" s="11" t="s">
        <v>54</v>
      </c>
    </row>
    <row r="10" spans="1:34" ht="21" customHeight="1">
      <c r="A10" s="11" t="s">
        <v>185</v>
      </c>
      <c r="B10" s="1">
        <f>核心参数输入!$B$25*1</f>
        <v>1800</v>
      </c>
      <c r="C10" s="11" t="s">
        <v>54</v>
      </c>
    </row>
    <row r="11" spans="1:34" ht="21" customHeight="1">
      <c r="A11" s="11" t="s">
        <v>58</v>
      </c>
      <c r="B11" s="1">
        <f>核心参数输入!$B$26*1</f>
        <v>2200</v>
      </c>
      <c r="C11" s="11" t="s">
        <v>54</v>
      </c>
    </row>
    <row r="12" spans="1:34" ht="21" customHeight="1">
      <c r="A12" s="11" t="s">
        <v>186</v>
      </c>
      <c r="B12" s="1">
        <f>SUM(B7:B11)</f>
        <v>49000</v>
      </c>
      <c r="C12" s="11" t="s">
        <v>54</v>
      </c>
    </row>
    <row r="13" spans="1:34" ht="21" customHeight="1">
      <c r="A13" s="11" t="s">
        <v>187</v>
      </c>
      <c r="B13" s="1">
        <f>B12*核心参数输入!$B$27</f>
        <v>3920</v>
      </c>
      <c r="C13" s="11" t="s">
        <v>54</v>
      </c>
    </row>
    <row r="14" spans="1:34" ht="21" customHeight="1">
      <c r="A14" s="11" t="s">
        <v>188</v>
      </c>
      <c r="B14" s="13">
        <f>SUM(B12:B13)</f>
        <v>52920</v>
      </c>
      <c r="C14" s="11" t="s">
        <v>54</v>
      </c>
    </row>
    <row r="15" spans="1:34" ht="21" customHeight="1">
      <c r="A15" s="11" t="s">
        <v>189</v>
      </c>
      <c r="B15" s="1">
        <f>SUM(融资与还本付息!$D$16:$AH$16)</f>
        <v>1890</v>
      </c>
      <c r="C15" s="11" t="s">
        <v>54</v>
      </c>
    </row>
    <row r="16" spans="1:34" ht="21" customHeight="1">
      <c r="A16" s="11" t="s">
        <v>190</v>
      </c>
      <c r="B16" s="13">
        <f>B6+B14+B15</f>
        <v>62810</v>
      </c>
      <c r="C16" s="11" t="s">
        <v>54</v>
      </c>
    </row>
    <row r="17" spans="1:34" ht="21" customHeight="1">
      <c r="A17" s="11" t="s">
        <v>62</v>
      </c>
      <c r="B17" s="1">
        <f>核心参数输入!$B$28</f>
        <v>500</v>
      </c>
      <c r="C17" s="11" t="s">
        <v>54</v>
      </c>
    </row>
    <row r="18" spans="1:34" ht="21" customHeight="1">
      <c r="A18" s="11" t="s">
        <v>191</v>
      </c>
      <c r="B18" s="13">
        <f>SUM(B16:B17)</f>
        <v>63310</v>
      </c>
      <c r="C18" s="11" t="s">
        <v>54</v>
      </c>
    </row>
    <row r="19" spans="1:34" ht="21" customHeight="1">
      <c r="A19" s="11" t="s">
        <v>192</v>
      </c>
      <c r="B19" s="1">
        <f>(B6+B14)*核心参数输入!$B$14</f>
        <v>33506</v>
      </c>
      <c r="C19" s="11" t="s">
        <v>54</v>
      </c>
    </row>
    <row r="20" spans="1:34" ht="21" customHeight="1">
      <c r="A20" s="11" t="s">
        <v>193</v>
      </c>
      <c r="B20" s="1">
        <f>B14*核心参数输入!$B$15</f>
        <v>23813.999999999996</v>
      </c>
      <c r="C20" s="11" t="s">
        <v>54</v>
      </c>
    </row>
    <row r="21" spans="1:34" ht="21" customHeight="1">
      <c r="A21" s="11" t="s">
        <v>194</v>
      </c>
      <c r="B21" s="1">
        <f>B6*核心参数输入!$B$15</f>
        <v>3599.9999999999995</v>
      </c>
      <c r="C21" s="11" t="s">
        <v>54</v>
      </c>
    </row>
    <row r="22" spans="1:34" ht="21" customHeight="1">
      <c r="A22" s="11" t="s">
        <v>195</v>
      </c>
      <c r="B22" s="1">
        <f>B16*核心参数输入!$B$14</f>
        <v>34545.5</v>
      </c>
      <c r="C22" s="11" t="s">
        <v>54</v>
      </c>
    </row>
    <row r="23" spans="1:34" ht="21" customHeight="1">
      <c r="A23" s="11" t="s">
        <v>196</v>
      </c>
      <c r="B23" s="1">
        <f>(B14+B15)*核心参数输入!$B$15</f>
        <v>24664.499999999996</v>
      </c>
      <c r="C23" s="11" t="s">
        <v>54</v>
      </c>
    </row>
    <row r="24" spans="1:34" ht="21" customHeight="1">
      <c r="A24" s="11" t="s">
        <v>197</v>
      </c>
      <c r="B24" s="1">
        <f>B16*核心参数输入!$B$15+B17</f>
        <v>28764.499999999996</v>
      </c>
      <c r="C24" s="11" t="s">
        <v>54</v>
      </c>
    </row>
    <row r="26" spans="1:34" ht="24.95" customHeight="1">
      <c r="A26" s="15" t="s">
        <v>198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</row>
    <row r="28" spans="1:34" ht="21" customHeight="1">
      <c r="A28" s="11" t="s">
        <v>199</v>
      </c>
      <c r="B28" s="11" t="s">
        <v>54</v>
      </c>
      <c r="D28" s="1">
        <f>IF(D$4&lt;=核心参数输入!$B$9,IF(D$4=0,$B$6,0),0)</f>
        <v>8000</v>
      </c>
      <c r="E28" s="1">
        <f>IF(E$4&lt;=核心参数输入!$B$9,IF(E$4=0,$B$6,0),0)</f>
        <v>0</v>
      </c>
      <c r="F28" s="1">
        <f>IF(F$4&lt;=核心参数输入!$B$9,IF(F$4=0,$B$6,0),0)</f>
        <v>0</v>
      </c>
      <c r="G28" s="1">
        <f>IF(G$4&lt;=核心参数输入!$B$9,IF(G$4=0,$B$6,0),0)</f>
        <v>0</v>
      </c>
      <c r="H28" s="1">
        <f>IF(H$4&lt;=核心参数输入!$B$9,IF(H$4=0,$B$6,0),0)</f>
        <v>0</v>
      </c>
      <c r="I28" s="1">
        <f>IF(I$4&lt;=核心参数输入!$B$9,IF(I$4=0,$B$6,0),0)</f>
        <v>0</v>
      </c>
      <c r="J28" s="1">
        <f>IF(J$4&lt;=核心参数输入!$B$9,IF(J$4=0,$B$6,0),0)</f>
        <v>0</v>
      </c>
      <c r="K28" s="1">
        <f>IF(K$4&lt;=核心参数输入!$B$9,IF(K$4=0,$B$6,0),0)</f>
        <v>0</v>
      </c>
      <c r="L28" s="1">
        <f>IF(L$4&lt;=核心参数输入!$B$9,IF(L$4=0,$B$6,0),0)</f>
        <v>0</v>
      </c>
      <c r="M28" s="1">
        <f>IF(M$4&lt;=核心参数输入!$B$9,IF(M$4=0,$B$6,0),0)</f>
        <v>0</v>
      </c>
      <c r="N28" s="1">
        <f>IF(N$4&lt;=核心参数输入!$B$9,IF(N$4=0,$B$6,0),0)</f>
        <v>0</v>
      </c>
      <c r="O28" s="1">
        <f>IF(O$4&lt;=核心参数输入!$B$9,IF(O$4=0,$B$6,0),0)</f>
        <v>0</v>
      </c>
      <c r="P28" s="1">
        <f>IF(P$4&lt;=核心参数输入!$B$9,IF(P$4=0,$B$6,0),0)</f>
        <v>0</v>
      </c>
      <c r="Q28" s="1">
        <f>IF(Q$4&lt;=核心参数输入!$B$9,IF(Q$4=0,$B$6,0),0)</f>
        <v>0</v>
      </c>
      <c r="R28" s="1">
        <f>IF(R$4&lt;=核心参数输入!$B$9,IF(R$4=0,$B$6,0),0)</f>
        <v>0</v>
      </c>
      <c r="S28" s="1">
        <f>IF(S$4&lt;=核心参数输入!$B$9,IF(S$4=0,$B$6,0),0)</f>
        <v>0</v>
      </c>
      <c r="T28" s="1">
        <f>IF(T$4&lt;=核心参数输入!$B$9,IF(T$4=0,$B$6,0),0)</f>
        <v>0</v>
      </c>
      <c r="U28" s="1">
        <f>IF(U$4&lt;=核心参数输入!$B$9,IF(U$4=0,$B$6,0),0)</f>
        <v>0</v>
      </c>
      <c r="V28" s="1">
        <f>IF(V$4&lt;=核心参数输入!$B$9,IF(V$4=0,$B$6,0),0)</f>
        <v>0</v>
      </c>
      <c r="W28" s="1">
        <f>IF(W$4&lt;=核心参数输入!$B$9,IF(W$4=0,$B$6,0),0)</f>
        <v>0</v>
      </c>
      <c r="X28" s="1">
        <f>IF(X$4&lt;=核心参数输入!$B$9,IF(X$4=0,$B$6,0),0)</f>
        <v>0</v>
      </c>
      <c r="Y28" s="1">
        <f>IF(Y$4&lt;=核心参数输入!$B$9,IF(Y$4=0,$B$6,0),0)</f>
        <v>0</v>
      </c>
      <c r="Z28" s="1">
        <f>IF(Z$4&lt;=核心参数输入!$B$9,IF(Z$4=0,$B$6,0),0)</f>
        <v>0</v>
      </c>
      <c r="AA28" s="1">
        <f>IF(AA$4&lt;=核心参数输入!$B$9,IF(AA$4=0,$B$6,0),0)</f>
        <v>0</v>
      </c>
      <c r="AB28" s="1">
        <f>IF(AB$4&lt;=核心参数输入!$B$9,IF(AB$4=0,$B$6,0),0)</f>
        <v>0</v>
      </c>
      <c r="AC28" s="1">
        <f>IF(AC$4&lt;=核心参数输入!$B$9,IF(AC$4=0,$B$6,0),0)</f>
        <v>0</v>
      </c>
      <c r="AD28" s="1">
        <f>IF(AD$4&lt;=核心参数输入!$B$9,IF(AD$4=0,$B$6,0),0)</f>
        <v>0</v>
      </c>
      <c r="AE28" s="1">
        <f>IF(AE$4&lt;=核心参数输入!$B$9,IF(AE$4=0,$B$6,0),0)</f>
        <v>0</v>
      </c>
      <c r="AF28" s="1">
        <f>IF(AF$4&lt;=核心参数输入!$B$9,IF(AF$4=0,$B$6,0),0)</f>
        <v>0</v>
      </c>
      <c r="AG28" s="1">
        <f>IF(AG$4&lt;=核心参数输入!$B$9,IF(AG$4=0,$B$6,0),0)</f>
        <v>0</v>
      </c>
      <c r="AH28" s="1">
        <f>IF(AH$4&lt;=核心参数输入!$B$9,IF(AH$4=0,$B$6,0),0)</f>
        <v>0</v>
      </c>
    </row>
    <row r="29" spans="1:34" ht="21" customHeight="1">
      <c r="A29" s="11" t="s">
        <v>200</v>
      </c>
      <c r="B29" s="11" t="s">
        <v>54</v>
      </c>
      <c r="D29" s="1">
        <f>IF(D$4&lt;=核心参数输入!$B$9,$B$14*建筑面积与开发计划!D20,0)</f>
        <v>0</v>
      </c>
      <c r="E29" s="1">
        <f>IF(E$4&lt;=核心参数输入!$B$9,$B$14*建筑面积与开发计划!E20,0)</f>
        <v>15876</v>
      </c>
      <c r="F29" s="1">
        <f>IF(F$4&lt;=核心参数输入!$B$9,$B$14*建筑面积与开发计划!F20,0)</f>
        <v>21168</v>
      </c>
      <c r="G29" s="1">
        <f>IF(G$4&lt;=核心参数输入!$B$9,$B$14*建筑面积与开发计划!G20,0)</f>
        <v>15876</v>
      </c>
      <c r="H29" s="1">
        <f>IF(H$4&lt;=核心参数输入!$B$9,$B$14*建筑面积与开发计划!H20,0)</f>
        <v>0</v>
      </c>
      <c r="I29" s="1">
        <f>IF(I$4&lt;=核心参数输入!$B$9,$B$14*建筑面积与开发计划!I20,0)</f>
        <v>0</v>
      </c>
      <c r="J29" s="1">
        <f>IF(J$4&lt;=核心参数输入!$B$9,$B$14*建筑面积与开发计划!J20,0)</f>
        <v>0</v>
      </c>
      <c r="K29" s="1">
        <f>IF(K$4&lt;=核心参数输入!$B$9,$B$14*建筑面积与开发计划!K20,0)</f>
        <v>0</v>
      </c>
      <c r="L29" s="1">
        <f>IF(L$4&lt;=核心参数输入!$B$9,$B$14*建筑面积与开发计划!L20,0)</f>
        <v>0</v>
      </c>
      <c r="M29" s="1">
        <f>IF(M$4&lt;=核心参数输入!$B$9,$B$14*建筑面积与开发计划!M20,0)</f>
        <v>0</v>
      </c>
      <c r="N29" s="1">
        <f>IF(N$4&lt;=核心参数输入!$B$9,$B$14*建筑面积与开发计划!N20,0)</f>
        <v>0</v>
      </c>
      <c r="O29" s="1">
        <f>IF(O$4&lt;=核心参数输入!$B$9,$B$14*建筑面积与开发计划!O20,0)</f>
        <v>0</v>
      </c>
      <c r="P29" s="1">
        <f>IF(P$4&lt;=核心参数输入!$B$9,$B$14*建筑面积与开发计划!P20,0)</f>
        <v>0</v>
      </c>
      <c r="Q29" s="1">
        <f>IF(Q$4&lt;=核心参数输入!$B$9,$B$14*建筑面积与开发计划!Q20,0)</f>
        <v>0</v>
      </c>
      <c r="R29" s="1">
        <f>IF(R$4&lt;=核心参数输入!$B$9,$B$14*建筑面积与开发计划!R20,0)</f>
        <v>0</v>
      </c>
      <c r="S29" s="1">
        <f>IF(S$4&lt;=核心参数输入!$B$9,$B$14*建筑面积与开发计划!S20,0)</f>
        <v>0</v>
      </c>
      <c r="T29" s="1">
        <f>IF(T$4&lt;=核心参数输入!$B$9,$B$14*建筑面积与开发计划!T20,0)</f>
        <v>0</v>
      </c>
      <c r="U29" s="1">
        <f>IF(U$4&lt;=核心参数输入!$B$9,$B$14*建筑面积与开发计划!U20,0)</f>
        <v>0</v>
      </c>
      <c r="V29" s="1">
        <f>IF(V$4&lt;=核心参数输入!$B$9,$B$14*建筑面积与开发计划!V20,0)</f>
        <v>0</v>
      </c>
      <c r="W29" s="1">
        <f>IF(W$4&lt;=核心参数输入!$B$9,$B$14*建筑面积与开发计划!W20,0)</f>
        <v>0</v>
      </c>
      <c r="X29" s="1">
        <f>IF(X$4&lt;=核心参数输入!$B$9,$B$14*建筑面积与开发计划!X20,0)</f>
        <v>0</v>
      </c>
      <c r="Y29" s="1">
        <f>IF(Y$4&lt;=核心参数输入!$B$9,$B$14*建筑面积与开发计划!Y20,0)</f>
        <v>0</v>
      </c>
      <c r="Z29" s="1">
        <f>IF(Z$4&lt;=核心参数输入!$B$9,$B$14*建筑面积与开发计划!Z20,0)</f>
        <v>0</v>
      </c>
      <c r="AA29" s="1">
        <f>IF(AA$4&lt;=核心参数输入!$B$9,$B$14*建筑面积与开发计划!AA20,0)</f>
        <v>0</v>
      </c>
      <c r="AB29" s="1">
        <f>IF(AB$4&lt;=核心参数输入!$B$9,$B$14*建筑面积与开发计划!AB20,0)</f>
        <v>0</v>
      </c>
      <c r="AC29" s="1">
        <f>IF(AC$4&lt;=核心参数输入!$B$9,$B$14*建筑面积与开发计划!AC20,0)</f>
        <v>0</v>
      </c>
      <c r="AD29" s="1">
        <f>IF(AD$4&lt;=核心参数输入!$B$9,$B$14*建筑面积与开发计划!AD20,0)</f>
        <v>0</v>
      </c>
      <c r="AE29" s="1">
        <f>IF(AE$4&lt;=核心参数输入!$B$9,$B$14*建筑面积与开发计划!AE20,0)</f>
        <v>0</v>
      </c>
      <c r="AF29" s="1">
        <f>IF(AF$4&lt;=核心参数输入!$B$9,$B$14*建筑面积与开发计划!AF20,0)</f>
        <v>0</v>
      </c>
      <c r="AG29" s="1">
        <f>IF(AG$4&lt;=核心参数输入!$B$9,$B$14*建筑面积与开发计划!AG20,0)</f>
        <v>0</v>
      </c>
      <c r="AH29" s="1">
        <f>IF(AH$4&lt;=核心参数输入!$B$9,$B$14*建筑面积与开发计划!AH20,0)</f>
        <v>0</v>
      </c>
    </row>
    <row r="30" spans="1:34" ht="21" customHeight="1">
      <c r="A30" s="11" t="s">
        <v>201</v>
      </c>
      <c r="B30" s="11" t="s">
        <v>54</v>
      </c>
      <c r="D30" s="1">
        <f>IF(D$4&lt;=核心参数输入!$B$9,SUM(D28:D29),0)</f>
        <v>8000</v>
      </c>
      <c r="E30" s="1">
        <f>IF(E$4&lt;=核心参数输入!$B$9,SUM(E28:E29),0)</f>
        <v>15876</v>
      </c>
      <c r="F30" s="1">
        <f>IF(F$4&lt;=核心参数输入!$B$9,SUM(F28:F29),0)</f>
        <v>21168</v>
      </c>
      <c r="G30" s="1">
        <f>IF(G$4&lt;=核心参数输入!$B$9,SUM(G28:G29),0)</f>
        <v>15876</v>
      </c>
      <c r="H30" s="1">
        <f>IF(H$4&lt;=核心参数输入!$B$9,SUM(H28:H29),0)</f>
        <v>0</v>
      </c>
      <c r="I30" s="1">
        <f>IF(I$4&lt;=核心参数输入!$B$9,SUM(I28:I29),0)</f>
        <v>0</v>
      </c>
      <c r="J30" s="1">
        <f>IF(J$4&lt;=核心参数输入!$B$9,SUM(J28:J29),0)</f>
        <v>0</v>
      </c>
      <c r="K30" s="1">
        <f>IF(K$4&lt;=核心参数输入!$B$9,SUM(K28:K29),0)</f>
        <v>0</v>
      </c>
      <c r="L30" s="1">
        <f>IF(L$4&lt;=核心参数输入!$B$9,SUM(L28:L29),0)</f>
        <v>0</v>
      </c>
      <c r="M30" s="1">
        <f>IF(M$4&lt;=核心参数输入!$B$9,SUM(M28:M29),0)</f>
        <v>0</v>
      </c>
      <c r="N30" s="1">
        <f>IF(N$4&lt;=核心参数输入!$B$9,SUM(N28:N29),0)</f>
        <v>0</v>
      </c>
      <c r="O30" s="1">
        <f>IF(O$4&lt;=核心参数输入!$B$9,SUM(O28:O29),0)</f>
        <v>0</v>
      </c>
      <c r="P30" s="1">
        <f>IF(P$4&lt;=核心参数输入!$B$9,SUM(P28:P29),0)</f>
        <v>0</v>
      </c>
      <c r="Q30" s="1">
        <f>IF(Q$4&lt;=核心参数输入!$B$9,SUM(Q28:Q29),0)</f>
        <v>0</v>
      </c>
      <c r="R30" s="1">
        <f>IF(R$4&lt;=核心参数输入!$B$9,SUM(R28:R29),0)</f>
        <v>0</v>
      </c>
      <c r="S30" s="1">
        <f>IF(S$4&lt;=核心参数输入!$B$9,SUM(S28:S29),0)</f>
        <v>0</v>
      </c>
      <c r="T30" s="1">
        <f>IF(T$4&lt;=核心参数输入!$B$9,SUM(T28:T29),0)</f>
        <v>0</v>
      </c>
      <c r="U30" s="1">
        <f>IF(U$4&lt;=核心参数输入!$B$9,SUM(U28:U29),0)</f>
        <v>0</v>
      </c>
      <c r="V30" s="1">
        <f>IF(V$4&lt;=核心参数输入!$B$9,SUM(V28:V29),0)</f>
        <v>0</v>
      </c>
      <c r="W30" s="1">
        <f>IF(W$4&lt;=核心参数输入!$B$9,SUM(W28:W29),0)</f>
        <v>0</v>
      </c>
      <c r="X30" s="1">
        <f>IF(X$4&lt;=核心参数输入!$B$9,SUM(X28:X29),0)</f>
        <v>0</v>
      </c>
      <c r="Y30" s="1">
        <f>IF(Y$4&lt;=核心参数输入!$B$9,SUM(Y28:Y29),0)</f>
        <v>0</v>
      </c>
      <c r="Z30" s="1">
        <f>IF(Z$4&lt;=核心参数输入!$B$9,SUM(Z28:Z29),0)</f>
        <v>0</v>
      </c>
      <c r="AA30" s="1">
        <f>IF(AA$4&lt;=核心参数输入!$B$9,SUM(AA28:AA29),0)</f>
        <v>0</v>
      </c>
      <c r="AB30" s="1">
        <f>IF(AB$4&lt;=核心参数输入!$B$9,SUM(AB28:AB29),0)</f>
        <v>0</v>
      </c>
      <c r="AC30" s="1">
        <f>IF(AC$4&lt;=核心参数输入!$B$9,SUM(AC28:AC29),0)</f>
        <v>0</v>
      </c>
      <c r="AD30" s="1">
        <f>IF(AD$4&lt;=核心参数输入!$B$9,SUM(AD28:AD29),0)</f>
        <v>0</v>
      </c>
      <c r="AE30" s="1">
        <f>IF(AE$4&lt;=核心参数输入!$B$9,SUM(AE28:AE29),0)</f>
        <v>0</v>
      </c>
      <c r="AF30" s="1">
        <f>IF(AF$4&lt;=核心参数输入!$B$9,SUM(AF28:AF29),0)</f>
        <v>0</v>
      </c>
      <c r="AG30" s="1">
        <f>IF(AG$4&lt;=核心参数输入!$B$9,SUM(AG28:AG29),0)</f>
        <v>0</v>
      </c>
      <c r="AH30" s="1">
        <f>IF(AH$4&lt;=核心参数输入!$B$9,SUM(AH28:AH29),0)</f>
        <v>0</v>
      </c>
    </row>
    <row r="31" spans="1:34" ht="21" customHeight="1">
      <c r="A31" s="11" t="s">
        <v>202</v>
      </c>
      <c r="B31" s="11" t="s">
        <v>54</v>
      </c>
      <c r="D31" s="1">
        <f>IF(D$4&lt;=核心参数输入!$B$9,IF(D$4=核心参数输入!$B$16+1,核心参数输入!$B$28,0),0)</f>
        <v>0</v>
      </c>
      <c r="E31" s="1">
        <f>IF(E$4&lt;=核心参数输入!$B$9,IF(E$4=核心参数输入!$B$16+1,核心参数输入!$B$28,0),0)</f>
        <v>0</v>
      </c>
      <c r="F31" s="1">
        <f>IF(F$4&lt;=核心参数输入!$B$9,IF(F$4=核心参数输入!$B$16+1,核心参数输入!$B$28,0),0)</f>
        <v>0</v>
      </c>
      <c r="G31" s="1">
        <f>IF(G$4&lt;=核心参数输入!$B$9,IF(G$4=核心参数输入!$B$16+1,核心参数输入!$B$28,0),0)</f>
        <v>0</v>
      </c>
      <c r="H31" s="1">
        <f>IF(H$4&lt;=核心参数输入!$B$9,IF(H$4=核心参数输入!$B$16+1,核心参数输入!$B$28,0),0)</f>
        <v>500</v>
      </c>
      <c r="I31" s="1">
        <f>IF(I$4&lt;=核心参数输入!$B$9,IF(I$4=核心参数输入!$B$16+1,核心参数输入!$B$28,0),0)</f>
        <v>0</v>
      </c>
      <c r="J31" s="1">
        <f>IF(J$4&lt;=核心参数输入!$B$9,IF(J$4=核心参数输入!$B$16+1,核心参数输入!$B$28,0),0)</f>
        <v>0</v>
      </c>
      <c r="K31" s="1">
        <f>IF(K$4&lt;=核心参数输入!$B$9,IF(K$4=核心参数输入!$B$16+1,核心参数输入!$B$28,0),0)</f>
        <v>0</v>
      </c>
      <c r="L31" s="1">
        <f>IF(L$4&lt;=核心参数输入!$B$9,IF(L$4=核心参数输入!$B$16+1,核心参数输入!$B$28,0),0)</f>
        <v>0</v>
      </c>
      <c r="M31" s="1">
        <f>IF(M$4&lt;=核心参数输入!$B$9,IF(M$4=核心参数输入!$B$16+1,核心参数输入!$B$28,0),0)</f>
        <v>0</v>
      </c>
      <c r="N31" s="1">
        <f>IF(N$4&lt;=核心参数输入!$B$9,IF(N$4=核心参数输入!$B$16+1,核心参数输入!$B$28,0),0)</f>
        <v>0</v>
      </c>
      <c r="O31" s="1">
        <f>IF(O$4&lt;=核心参数输入!$B$9,IF(O$4=核心参数输入!$B$16+1,核心参数输入!$B$28,0),0)</f>
        <v>0</v>
      </c>
      <c r="P31" s="1">
        <f>IF(P$4&lt;=核心参数输入!$B$9,IF(P$4=核心参数输入!$B$16+1,核心参数输入!$B$28,0),0)</f>
        <v>0</v>
      </c>
      <c r="Q31" s="1">
        <f>IF(Q$4&lt;=核心参数输入!$B$9,IF(Q$4=核心参数输入!$B$16+1,核心参数输入!$B$28,0),0)</f>
        <v>0</v>
      </c>
      <c r="R31" s="1">
        <f>IF(R$4&lt;=核心参数输入!$B$9,IF(R$4=核心参数输入!$B$16+1,核心参数输入!$B$28,0),0)</f>
        <v>0</v>
      </c>
      <c r="S31" s="1">
        <f>IF(S$4&lt;=核心参数输入!$B$9,IF(S$4=核心参数输入!$B$16+1,核心参数输入!$B$28,0),0)</f>
        <v>0</v>
      </c>
      <c r="T31" s="1">
        <f>IF(T$4&lt;=核心参数输入!$B$9,IF(T$4=核心参数输入!$B$16+1,核心参数输入!$B$28,0),0)</f>
        <v>0</v>
      </c>
      <c r="U31" s="1">
        <f>IF(U$4&lt;=核心参数输入!$B$9,IF(U$4=核心参数输入!$B$16+1,核心参数输入!$B$28,0),0)</f>
        <v>0</v>
      </c>
      <c r="V31" s="1">
        <f>IF(V$4&lt;=核心参数输入!$B$9,IF(V$4=核心参数输入!$B$16+1,核心参数输入!$B$28,0),0)</f>
        <v>0</v>
      </c>
      <c r="W31" s="1">
        <f>IF(W$4&lt;=核心参数输入!$B$9,IF(W$4=核心参数输入!$B$16+1,核心参数输入!$B$28,0),0)</f>
        <v>0</v>
      </c>
      <c r="X31" s="1">
        <f>IF(X$4&lt;=核心参数输入!$B$9,IF(X$4=核心参数输入!$B$16+1,核心参数输入!$B$28,0),0)</f>
        <v>0</v>
      </c>
      <c r="Y31" s="1">
        <f>IF(Y$4&lt;=核心参数输入!$B$9,IF(Y$4=核心参数输入!$B$16+1,核心参数输入!$B$28,0),0)</f>
        <v>0</v>
      </c>
      <c r="Z31" s="1">
        <f>IF(Z$4&lt;=核心参数输入!$B$9,IF(Z$4=核心参数输入!$B$16+1,核心参数输入!$B$28,0),0)</f>
        <v>0</v>
      </c>
      <c r="AA31" s="1">
        <f>IF(AA$4&lt;=核心参数输入!$B$9,IF(AA$4=核心参数输入!$B$16+1,核心参数输入!$B$28,0),0)</f>
        <v>0</v>
      </c>
      <c r="AB31" s="1">
        <f>IF(AB$4&lt;=核心参数输入!$B$9,IF(AB$4=核心参数输入!$B$16+1,核心参数输入!$B$28,0),0)</f>
        <v>0</v>
      </c>
      <c r="AC31" s="1">
        <f>IF(AC$4&lt;=核心参数输入!$B$9,IF(AC$4=核心参数输入!$B$16+1,核心参数输入!$B$28,0),0)</f>
        <v>0</v>
      </c>
      <c r="AD31" s="1">
        <f>IF(AD$4&lt;=核心参数输入!$B$9,IF(AD$4=核心参数输入!$B$16+1,核心参数输入!$B$28,0),0)</f>
        <v>0</v>
      </c>
      <c r="AE31" s="1">
        <f>IF(AE$4&lt;=核心参数输入!$B$9,IF(AE$4=核心参数输入!$B$16+1,核心参数输入!$B$28,0),0)</f>
        <v>0</v>
      </c>
      <c r="AF31" s="1">
        <f>IF(AF$4&lt;=核心参数输入!$B$9,IF(AF$4=核心参数输入!$B$16+1,核心参数输入!$B$28,0),0)</f>
        <v>0</v>
      </c>
      <c r="AG31" s="1">
        <f>IF(AG$4&lt;=核心参数输入!$B$9,IF(AG$4=核心参数输入!$B$16+1,核心参数输入!$B$28,0),0)</f>
        <v>0</v>
      </c>
      <c r="AH31" s="1">
        <f>IF(AH$4&lt;=核心参数输入!$B$9,IF(AH$4=核心参数输入!$B$16+1,核心参数输入!$B$28,0),0)</f>
        <v>0</v>
      </c>
    </row>
    <row r="32" spans="1:34" ht="21" customHeight="1">
      <c r="A32" s="11" t="s">
        <v>203</v>
      </c>
      <c r="B32" s="11" t="s">
        <v>54</v>
      </c>
      <c r="D32" s="1">
        <f>IF(D$4&lt;=核心参数输入!$B$9,IF(AND(D$4=核心参数输入!$B$9,核心参数输入!$B$9&gt;核心参数输入!$B$16),核心参数输入!$B$28,0),0)</f>
        <v>0</v>
      </c>
      <c r="E32" s="1">
        <f>IF(E$4&lt;=核心参数输入!$B$9,IF(AND(E$4=核心参数输入!$B$9,核心参数输入!$B$9&gt;核心参数输入!$B$16),核心参数输入!$B$28,0),0)</f>
        <v>0</v>
      </c>
      <c r="F32" s="1">
        <f>IF(F$4&lt;=核心参数输入!$B$9,IF(AND(F$4=核心参数输入!$B$9,核心参数输入!$B$9&gt;核心参数输入!$B$16),核心参数输入!$B$28,0),0)</f>
        <v>0</v>
      </c>
      <c r="G32" s="1">
        <f>IF(G$4&lt;=核心参数输入!$B$9,IF(AND(G$4=核心参数输入!$B$9,核心参数输入!$B$9&gt;核心参数输入!$B$16),核心参数输入!$B$28,0),0)</f>
        <v>0</v>
      </c>
      <c r="H32" s="1">
        <f>IF(H$4&lt;=核心参数输入!$B$9,IF(AND(H$4=核心参数输入!$B$9,核心参数输入!$B$9&gt;核心参数输入!$B$16),核心参数输入!$B$28,0),0)</f>
        <v>0</v>
      </c>
      <c r="I32" s="1">
        <f>IF(I$4&lt;=核心参数输入!$B$9,IF(AND(I$4=核心参数输入!$B$9,核心参数输入!$B$9&gt;核心参数输入!$B$16),核心参数输入!$B$28,0),0)</f>
        <v>0</v>
      </c>
      <c r="J32" s="1">
        <f>IF(J$4&lt;=核心参数输入!$B$9,IF(AND(J$4=核心参数输入!$B$9,核心参数输入!$B$9&gt;核心参数输入!$B$16),核心参数输入!$B$28,0),0)</f>
        <v>0</v>
      </c>
      <c r="K32" s="1">
        <f>IF(K$4&lt;=核心参数输入!$B$9,IF(AND(K$4=核心参数输入!$B$9,核心参数输入!$B$9&gt;核心参数输入!$B$16),核心参数输入!$B$28,0),0)</f>
        <v>0</v>
      </c>
      <c r="L32" s="1">
        <f>IF(L$4&lt;=核心参数输入!$B$9,IF(AND(L$4=核心参数输入!$B$9,核心参数输入!$B$9&gt;核心参数输入!$B$16),核心参数输入!$B$28,0),0)</f>
        <v>0</v>
      </c>
      <c r="M32" s="1">
        <f>IF(M$4&lt;=核心参数输入!$B$9,IF(AND(M$4=核心参数输入!$B$9,核心参数输入!$B$9&gt;核心参数输入!$B$16),核心参数输入!$B$28,0),0)</f>
        <v>0</v>
      </c>
      <c r="N32" s="1">
        <f>IF(N$4&lt;=核心参数输入!$B$9,IF(AND(N$4=核心参数输入!$B$9,核心参数输入!$B$9&gt;核心参数输入!$B$16),核心参数输入!$B$28,0),0)</f>
        <v>0</v>
      </c>
      <c r="O32" s="1">
        <f>IF(O$4&lt;=核心参数输入!$B$9,IF(AND(O$4=核心参数输入!$B$9,核心参数输入!$B$9&gt;核心参数输入!$B$16),核心参数输入!$B$28,0),0)</f>
        <v>0</v>
      </c>
      <c r="P32" s="1">
        <f>IF(P$4&lt;=核心参数输入!$B$9,IF(AND(P$4=核心参数输入!$B$9,核心参数输入!$B$9&gt;核心参数输入!$B$16),核心参数输入!$B$28,0),0)</f>
        <v>0</v>
      </c>
      <c r="Q32" s="1">
        <f>IF(Q$4&lt;=核心参数输入!$B$9,IF(AND(Q$4=核心参数输入!$B$9,核心参数输入!$B$9&gt;核心参数输入!$B$16),核心参数输入!$B$28,0),0)</f>
        <v>0</v>
      </c>
      <c r="R32" s="1">
        <f>IF(R$4&lt;=核心参数输入!$B$9,IF(AND(R$4=核心参数输入!$B$9,核心参数输入!$B$9&gt;核心参数输入!$B$16),核心参数输入!$B$28,0),0)</f>
        <v>0</v>
      </c>
      <c r="S32" s="1">
        <f>IF(S$4&lt;=核心参数输入!$B$9,IF(AND(S$4=核心参数输入!$B$9,核心参数输入!$B$9&gt;核心参数输入!$B$16),核心参数输入!$B$28,0),0)</f>
        <v>0</v>
      </c>
      <c r="T32" s="1">
        <f>IF(T$4&lt;=核心参数输入!$B$9,IF(AND(T$4=核心参数输入!$B$9,核心参数输入!$B$9&gt;核心参数输入!$B$16),核心参数输入!$B$28,0),0)</f>
        <v>0</v>
      </c>
      <c r="U32" s="1">
        <f>IF(U$4&lt;=核心参数输入!$B$9,IF(AND(U$4=核心参数输入!$B$9,核心参数输入!$B$9&gt;核心参数输入!$B$16),核心参数输入!$B$28,0),0)</f>
        <v>0</v>
      </c>
      <c r="V32" s="1">
        <f>IF(V$4&lt;=核心参数输入!$B$9,IF(AND(V$4=核心参数输入!$B$9,核心参数输入!$B$9&gt;核心参数输入!$B$16),核心参数输入!$B$28,0),0)</f>
        <v>0</v>
      </c>
      <c r="W32" s="1">
        <f>IF(W$4&lt;=核心参数输入!$B$9,IF(AND(W$4=核心参数输入!$B$9,核心参数输入!$B$9&gt;核心参数输入!$B$16),核心参数输入!$B$28,0),0)</f>
        <v>0</v>
      </c>
      <c r="X32" s="1">
        <f>IF(X$4&lt;=核心参数输入!$B$9,IF(AND(X$4=核心参数输入!$B$9,核心参数输入!$B$9&gt;核心参数输入!$B$16),核心参数输入!$B$28,0),0)</f>
        <v>500</v>
      </c>
      <c r="Y32" s="1">
        <f>IF(Y$4&lt;=核心参数输入!$B$9,IF(AND(Y$4=核心参数输入!$B$9,核心参数输入!$B$9&gt;核心参数输入!$B$16),核心参数输入!$B$28,0),0)</f>
        <v>0</v>
      </c>
      <c r="Z32" s="1">
        <f>IF(Z$4&lt;=核心参数输入!$B$9,IF(AND(Z$4=核心参数输入!$B$9,核心参数输入!$B$9&gt;核心参数输入!$B$16),核心参数输入!$B$28,0),0)</f>
        <v>0</v>
      </c>
      <c r="AA32" s="1">
        <f>IF(AA$4&lt;=核心参数输入!$B$9,IF(AND(AA$4=核心参数输入!$B$9,核心参数输入!$B$9&gt;核心参数输入!$B$16),核心参数输入!$B$28,0),0)</f>
        <v>0</v>
      </c>
      <c r="AB32" s="1">
        <f>IF(AB$4&lt;=核心参数输入!$B$9,IF(AND(AB$4=核心参数输入!$B$9,核心参数输入!$B$9&gt;核心参数输入!$B$16),核心参数输入!$B$28,0),0)</f>
        <v>0</v>
      </c>
      <c r="AC32" s="1">
        <f>IF(AC$4&lt;=核心参数输入!$B$9,IF(AND(AC$4=核心参数输入!$B$9,核心参数输入!$B$9&gt;核心参数输入!$B$16),核心参数输入!$B$28,0),0)</f>
        <v>0</v>
      </c>
      <c r="AD32" s="1">
        <f>IF(AD$4&lt;=核心参数输入!$B$9,IF(AND(AD$4=核心参数输入!$B$9,核心参数输入!$B$9&gt;核心参数输入!$B$16),核心参数输入!$B$28,0),0)</f>
        <v>0</v>
      </c>
      <c r="AE32" s="1">
        <f>IF(AE$4&lt;=核心参数输入!$B$9,IF(AND(AE$4=核心参数输入!$B$9,核心参数输入!$B$9&gt;核心参数输入!$B$16),核心参数输入!$B$28,0),0)</f>
        <v>0</v>
      </c>
      <c r="AF32" s="1">
        <f>IF(AF$4&lt;=核心参数输入!$B$9,IF(AND(AF$4=核心参数输入!$B$9,核心参数输入!$B$9&gt;核心参数输入!$B$16),核心参数输入!$B$28,0),0)</f>
        <v>0</v>
      </c>
      <c r="AG32" s="1">
        <f>IF(AG$4&lt;=核心参数输入!$B$9,IF(AND(AG$4=核心参数输入!$B$9,核心参数输入!$B$9&gt;核心参数输入!$B$16),核心参数输入!$B$28,0),0)</f>
        <v>0</v>
      </c>
      <c r="AH32" s="1">
        <f>IF(AH$4&lt;=核心参数输入!$B$9,IF(AND(AH$4=核心参数输入!$B$9,核心参数输入!$B$9&gt;核心参数输入!$B$16),核心参数输入!$B$28,0),0)</f>
        <v>0</v>
      </c>
    </row>
    <row r="33" spans="1:34" ht="21" customHeight="1">
      <c r="A33" s="11" t="s">
        <v>204</v>
      </c>
      <c r="B33" s="11" t="s">
        <v>54</v>
      </c>
      <c r="D33" s="1">
        <f>IF(D$4&lt;=核心参数输入!$B$9,D30+D31,0)</f>
        <v>8000</v>
      </c>
      <c r="E33" s="1">
        <f>IF(E$4&lt;=核心参数输入!$B$9,E30+E31,0)</f>
        <v>15876</v>
      </c>
      <c r="F33" s="1">
        <f>IF(F$4&lt;=核心参数输入!$B$9,F30+F31,0)</f>
        <v>21168</v>
      </c>
      <c r="G33" s="1">
        <f>IF(G$4&lt;=核心参数输入!$B$9,G30+G31,0)</f>
        <v>15876</v>
      </c>
      <c r="H33" s="1">
        <f>IF(H$4&lt;=核心参数输入!$B$9,H30+H31,0)</f>
        <v>500</v>
      </c>
      <c r="I33" s="1">
        <f>IF(I$4&lt;=核心参数输入!$B$9,I30+I31,0)</f>
        <v>0</v>
      </c>
      <c r="J33" s="1">
        <f>IF(J$4&lt;=核心参数输入!$B$9,J30+J31,0)</f>
        <v>0</v>
      </c>
      <c r="K33" s="1">
        <f>IF(K$4&lt;=核心参数输入!$B$9,K30+K31,0)</f>
        <v>0</v>
      </c>
      <c r="L33" s="1">
        <f>IF(L$4&lt;=核心参数输入!$B$9,L30+L31,0)</f>
        <v>0</v>
      </c>
      <c r="M33" s="1">
        <f>IF(M$4&lt;=核心参数输入!$B$9,M30+M31,0)</f>
        <v>0</v>
      </c>
      <c r="N33" s="1">
        <f>IF(N$4&lt;=核心参数输入!$B$9,N30+N31,0)</f>
        <v>0</v>
      </c>
      <c r="O33" s="1">
        <f>IF(O$4&lt;=核心参数输入!$B$9,O30+O31,0)</f>
        <v>0</v>
      </c>
      <c r="P33" s="1">
        <f>IF(P$4&lt;=核心参数输入!$B$9,P30+P31,0)</f>
        <v>0</v>
      </c>
      <c r="Q33" s="1">
        <f>IF(Q$4&lt;=核心参数输入!$B$9,Q30+Q31,0)</f>
        <v>0</v>
      </c>
      <c r="R33" s="1">
        <f>IF(R$4&lt;=核心参数输入!$B$9,R30+R31,0)</f>
        <v>0</v>
      </c>
      <c r="S33" s="1">
        <f>IF(S$4&lt;=核心参数输入!$B$9,S30+S31,0)</f>
        <v>0</v>
      </c>
      <c r="T33" s="1">
        <f>IF(T$4&lt;=核心参数输入!$B$9,T30+T31,0)</f>
        <v>0</v>
      </c>
      <c r="U33" s="1">
        <f>IF(U$4&lt;=核心参数输入!$B$9,U30+U31,0)</f>
        <v>0</v>
      </c>
      <c r="V33" s="1">
        <f>IF(V$4&lt;=核心参数输入!$B$9,V30+V31,0)</f>
        <v>0</v>
      </c>
      <c r="W33" s="1">
        <f>IF(W$4&lt;=核心参数输入!$B$9,W30+W31,0)</f>
        <v>0</v>
      </c>
      <c r="X33" s="1">
        <f>IF(X$4&lt;=核心参数输入!$B$9,X30+X31,0)</f>
        <v>0</v>
      </c>
      <c r="Y33" s="1">
        <f>IF(Y$4&lt;=核心参数输入!$B$9,Y30+Y31,0)</f>
        <v>0</v>
      </c>
      <c r="Z33" s="1">
        <f>IF(Z$4&lt;=核心参数输入!$B$9,Z30+Z31,0)</f>
        <v>0</v>
      </c>
      <c r="AA33" s="1">
        <f>IF(AA$4&lt;=核心参数输入!$B$9,AA30+AA31,0)</f>
        <v>0</v>
      </c>
      <c r="AB33" s="1">
        <f>IF(AB$4&lt;=核心参数输入!$B$9,AB30+AB31,0)</f>
        <v>0</v>
      </c>
      <c r="AC33" s="1">
        <f>IF(AC$4&lt;=核心参数输入!$B$9,AC30+AC31,0)</f>
        <v>0</v>
      </c>
      <c r="AD33" s="1">
        <f>IF(AD$4&lt;=核心参数输入!$B$9,AD30+AD31,0)</f>
        <v>0</v>
      </c>
      <c r="AE33" s="1">
        <f>IF(AE$4&lt;=核心参数输入!$B$9,AE30+AE31,0)</f>
        <v>0</v>
      </c>
      <c r="AF33" s="1">
        <f>IF(AF$4&lt;=核心参数输入!$B$9,AF30+AF31,0)</f>
        <v>0</v>
      </c>
      <c r="AG33" s="1">
        <f>IF(AG$4&lt;=核心参数输入!$B$9,AG30+AG31,0)</f>
        <v>0</v>
      </c>
      <c r="AH33" s="1">
        <f>IF(AH$4&lt;=核心参数输入!$B$9,AH30+AH31,0)</f>
        <v>0</v>
      </c>
    </row>
    <row r="34" spans="1:34" ht="21" customHeight="1">
      <c r="A34" s="11" t="s">
        <v>205</v>
      </c>
      <c r="B34" s="11" t="s">
        <v>54</v>
      </c>
      <c r="D34" s="1">
        <f>IF(D$4&lt;=核心参数输入!$B$9,融资与还本付息!D16,0)</f>
        <v>0</v>
      </c>
      <c r="E34" s="1">
        <f>IF(E$4&lt;=核心参数输入!$B$9,融资与还本付息!E16,0)</f>
        <v>189</v>
      </c>
      <c r="F34" s="1">
        <f>IF(F$4&lt;=核心参数输入!$B$9,融资与还本付息!F16,0)</f>
        <v>630</v>
      </c>
      <c r="G34" s="1">
        <f>IF(G$4&lt;=核心参数输入!$B$9,融资与还本付息!G16,0)</f>
        <v>1071</v>
      </c>
      <c r="H34" s="1">
        <f>IF(H$4&lt;=核心参数输入!$B$9,融资与还本付息!H16,0)</f>
        <v>0</v>
      </c>
      <c r="I34" s="1">
        <f>IF(I$4&lt;=核心参数输入!$B$9,融资与还本付息!I16,0)</f>
        <v>0</v>
      </c>
      <c r="J34" s="1">
        <f>IF(J$4&lt;=核心参数输入!$B$9,融资与还本付息!J16,0)</f>
        <v>0</v>
      </c>
      <c r="K34" s="1">
        <f>IF(K$4&lt;=核心参数输入!$B$9,融资与还本付息!K16,0)</f>
        <v>0</v>
      </c>
      <c r="L34" s="1">
        <f>IF(L$4&lt;=核心参数输入!$B$9,融资与还本付息!L16,0)</f>
        <v>0</v>
      </c>
      <c r="M34" s="1">
        <f>IF(M$4&lt;=核心参数输入!$B$9,融资与还本付息!M16,0)</f>
        <v>0</v>
      </c>
      <c r="N34" s="1">
        <f>IF(N$4&lt;=核心参数输入!$B$9,融资与还本付息!N16,0)</f>
        <v>0</v>
      </c>
      <c r="O34" s="1">
        <f>IF(O$4&lt;=核心参数输入!$B$9,融资与还本付息!O16,0)</f>
        <v>0</v>
      </c>
      <c r="P34" s="1">
        <f>IF(P$4&lt;=核心参数输入!$B$9,融资与还本付息!P16,0)</f>
        <v>0</v>
      </c>
      <c r="Q34" s="1">
        <f>IF(Q$4&lt;=核心参数输入!$B$9,融资与还本付息!Q16,0)</f>
        <v>0</v>
      </c>
      <c r="R34" s="1">
        <f>IF(R$4&lt;=核心参数输入!$B$9,融资与还本付息!R16,0)</f>
        <v>0</v>
      </c>
      <c r="S34" s="1">
        <f>IF(S$4&lt;=核心参数输入!$B$9,融资与还本付息!S16,0)</f>
        <v>0</v>
      </c>
      <c r="T34" s="1">
        <f>IF(T$4&lt;=核心参数输入!$B$9,融资与还本付息!T16,0)</f>
        <v>0</v>
      </c>
      <c r="U34" s="1">
        <f>IF(U$4&lt;=核心参数输入!$B$9,融资与还本付息!U16,0)</f>
        <v>0</v>
      </c>
      <c r="V34" s="1">
        <f>IF(V$4&lt;=核心参数输入!$B$9,融资与还本付息!V16,0)</f>
        <v>0</v>
      </c>
      <c r="W34" s="1">
        <f>IF(W$4&lt;=核心参数输入!$B$9,融资与还本付息!W16,0)</f>
        <v>0</v>
      </c>
      <c r="X34" s="1">
        <f>IF(X$4&lt;=核心参数输入!$B$9,融资与还本付息!X16,0)</f>
        <v>0</v>
      </c>
      <c r="Y34" s="1">
        <f>IF(Y$4&lt;=核心参数输入!$B$9,融资与还本付息!Y16,0)</f>
        <v>0</v>
      </c>
      <c r="Z34" s="1">
        <f>IF(Z$4&lt;=核心参数输入!$B$9,融资与还本付息!Z16,0)</f>
        <v>0</v>
      </c>
      <c r="AA34" s="1">
        <f>IF(AA$4&lt;=核心参数输入!$B$9,融资与还本付息!AA16,0)</f>
        <v>0</v>
      </c>
      <c r="AB34" s="1">
        <f>IF(AB$4&lt;=核心参数输入!$B$9,融资与还本付息!AB16,0)</f>
        <v>0</v>
      </c>
      <c r="AC34" s="1">
        <f>IF(AC$4&lt;=核心参数输入!$B$9,融资与还本付息!AC16,0)</f>
        <v>0</v>
      </c>
      <c r="AD34" s="1">
        <f>IF(AD$4&lt;=核心参数输入!$B$9,融资与还本付息!AD16,0)</f>
        <v>0</v>
      </c>
      <c r="AE34" s="1">
        <f>IF(AE$4&lt;=核心参数输入!$B$9,融资与还本付息!AE16,0)</f>
        <v>0</v>
      </c>
      <c r="AF34" s="1">
        <f>IF(AF$4&lt;=核心参数输入!$B$9,融资与还本付息!AF16,0)</f>
        <v>0</v>
      </c>
      <c r="AG34" s="1">
        <f>IF(AG$4&lt;=核心参数输入!$B$9,融资与还本付息!AG16,0)</f>
        <v>0</v>
      </c>
      <c r="AH34" s="1">
        <f>IF(AH$4&lt;=核心参数输入!$B$9,融资与还本付息!AH16,0)</f>
        <v>0</v>
      </c>
    </row>
    <row r="35" spans="1:34" ht="21" customHeight="1">
      <c r="A35" s="11" t="s">
        <v>206</v>
      </c>
      <c r="B35" s="11" t="s">
        <v>54</v>
      </c>
      <c r="D35" s="1">
        <f>IF(D$4&lt;=核心参数输入!$B$9,D33+D34,0)</f>
        <v>8000</v>
      </c>
      <c r="E35" s="1">
        <f>IF(E$4&lt;=核心参数输入!$B$9,E33+E34,0)</f>
        <v>16065</v>
      </c>
      <c r="F35" s="1">
        <f>IF(F$4&lt;=核心参数输入!$B$9,F33+F34,0)</f>
        <v>21798</v>
      </c>
      <c r="G35" s="1">
        <f>IF(G$4&lt;=核心参数输入!$B$9,G33+G34,0)</f>
        <v>16947</v>
      </c>
      <c r="H35" s="1">
        <f>IF(H$4&lt;=核心参数输入!$B$9,H33+H34,0)</f>
        <v>500</v>
      </c>
      <c r="I35" s="1">
        <f>IF(I$4&lt;=核心参数输入!$B$9,I33+I34,0)</f>
        <v>0</v>
      </c>
      <c r="J35" s="1">
        <f>IF(J$4&lt;=核心参数输入!$B$9,J33+J34,0)</f>
        <v>0</v>
      </c>
      <c r="K35" s="1">
        <f>IF(K$4&lt;=核心参数输入!$B$9,K33+K34,0)</f>
        <v>0</v>
      </c>
      <c r="L35" s="1">
        <f>IF(L$4&lt;=核心参数输入!$B$9,L33+L34,0)</f>
        <v>0</v>
      </c>
      <c r="M35" s="1">
        <f>IF(M$4&lt;=核心参数输入!$B$9,M33+M34,0)</f>
        <v>0</v>
      </c>
      <c r="N35" s="1">
        <f>IF(N$4&lt;=核心参数输入!$B$9,N33+N34,0)</f>
        <v>0</v>
      </c>
      <c r="O35" s="1">
        <f>IF(O$4&lt;=核心参数输入!$B$9,O33+O34,0)</f>
        <v>0</v>
      </c>
      <c r="P35" s="1">
        <f>IF(P$4&lt;=核心参数输入!$B$9,P33+P34,0)</f>
        <v>0</v>
      </c>
      <c r="Q35" s="1">
        <f>IF(Q$4&lt;=核心参数输入!$B$9,Q33+Q34,0)</f>
        <v>0</v>
      </c>
      <c r="R35" s="1">
        <f>IF(R$4&lt;=核心参数输入!$B$9,R33+R34,0)</f>
        <v>0</v>
      </c>
      <c r="S35" s="1">
        <f>IF(S$4&lt;=核心参数输入!$B$9,S33+S34,0)</f>
        <v>0</v>
      </c>
      <c r="T35" s="1">
        <f>IF(T$4&lt;=核心参数输入!$B$9,T33+T34,0)</f>
        <v>0</v>
      </c>
      <c r="U35" s="1">
        <f>IF(U$4&lt;=核心参数输入!$B$9,U33+U34,0)</f>
        <v>0</v>
      </c>
      <c r="V35" s="1">
        <f>IF(V$4&lt;=核心参数输入!$B$9,V33+V34,0)</f>
        <v>0</v>
      </c>
      <c r="W35" s="1">
        <f>IF(W$4&lt;=核心参数输入!$B$9,W33+W34,0)</f>
        <v>0</v>
      </c>
      <c r="X35" s="1">
        <f>IF(X$4&lt;=核心参数输入!$B$9,X33+X34,0)</f>
        <v>0</v>
      </c>
      <c r="Y35" s="1">
        <f>IF(Y$4&lt;=核心参数输入!$B$9,Y33+Y34,0)</f>
        <v>0</v>
      </c>
      <c r="Z35" s="1">
        <f>IF(Z$4&lt;=核心参数输入!$B$9,Z33+Z34,0)</f>
        <v>0</v>
      </c>
      <c r="AA35" s="1">
        <f>IF(AA$4&lt;=核心参数输入!$B$9,AA33+AA34,0)</f>
        <v>0</v>
      </c>
      <c r="AB35" s="1">
        <f>IF(AB$4&lt;=核心参数输入!$B$9,AB33+AB34,0)</f>
        <v>0</v>
      </c>
      <c r="AC35" s="1">
        <f>IF(AC$4&lt;=核心参数输入!$B$9,AC33+AC34,0)</f>
        <v>0</v>
      </c>
      <c r="AD35" s="1">
        <f>IF(AD$4&lt;=核心参数输入!$B$9,AD33+AD34,0)</f>
        <v>0</v>
      </c>
      <c r="AE35" s="1">
        <f>IF(AE$4&lt;=核心参数输入!$B$9,AE33+AE34,0)</f>
        <v>0</v>
      </c>
      <c r="AF35" s="1">
        <f>IF(AF$4&lt;=核心参数输入!$B$9,AF33+AF34,0)</f>
        <v>0</v>
      </c>
      <c r="AG35" s="1">
        <f>IF(AG$4&lt;=核心参数输入!$B$9,AG33+AG34,0)</f>
        <v>0</v>
      </c>
      <c r="AH35" s="1">
        <f>IF(AH$4&lt;=核心参数输入!$B$9,AH33+AH34,0)</f>
        <v>0</v>
      </c>
    </row>
    <row r="83" spans="1:3" ht="21" customHeight="1">
      <c r="A83" s="3" t="s">
        <v>207</v>
      </c>
    </row>
    <row r="86" spans="1:3" ht="21" customHeight="1">
      <c r="A86" s="11" t="s">
        <v>181</v>
      </c>
      <c r="B86" s="1">
        <f>核心参数输入!$B$10*核心参数输入!$B$21/10000</f>
        <v>8000</v>
      </c>
      <c r="C86" s="11" t="s">
        <v>54</v>
      </c>
    </row>
    <row r="87" spans="1:3" ht="21" customHeight="1">
      <c r="A87" s="11" t="s">
        <v>182</v>
      </c>
      <c r="B87" s="1">
        <f>建筑面积与开发计划!$B$7*核心参数输入!$B$22/10000*(1+核心参数输入!$B$81)</f>
        <v>39600</v>
      </c>
      <c r="C87" s="11" t="s">
        <v>54</v>
      </c>
    </row>
    <row r="88" spans="1:3" ht="21" customHeight="1">
      <c r="A88" s="11" t="s">
        <v>183</v>
      </c>
      <c r="B88" s="1">
        <f>核心参数输入!$B$13*核心参数输入!$B$23/10000*(1+核心参数输入!$B$81)</f>
        <v>4950</v>
      </c>
      <c r="C88" s="11" t="s">
        <v>54</v>
      </c>
    </row>
    <row r="89" spans="1:3" ht="21" customHeight="1">
      <c r="A89" s="11" t="s">
        <v>184</v>
      </c>
      <c r="B89" s="1">
        <f>核心参数输入!$B$24*(1+核心参数输入!$B$81)</f>
        <v>4950</v>
      </c>
      <c r="C89" s="11" t="s">
        <v>54</v>
      </c>
    </row>
    <row r="90" spans="1:3" ht="21" customHeight="1">
      <c r="A90" s="11" t="s">
        <v>185</v>
      </c>
      <c r="B90" s="1">
        <f>核心参数输入!$B$25*(1+核心参数输入!$B$81)</f>
        <v>1980.0000000000002</v>
      </c>
      <c r="C90" s="11" t="s">
        <v>54</v>
      </c>
    </row>
    <row r="91" spans="1:3" ht="21" customHeight="1">
      <c r="A91" s="11" t="s">
        <v>58</v>
      </c>
      <c r="B91" s="1">
        <f>核心参数输入!$B$26*(1+核心参数输入!$B$81)</f>
        <v>2420</v>
      </c>
      <c r="C91" s="11" t="s">
        <v>54</v>
      </c>
    </row>
    <row r="92" spans="1:3" ht="21" customHeight="1">
      <c r="A92" s="11" t="s">
        <v>186</v>
      </c>
      <c r="B92" s="1">
        <f>SUM(B87:B91)</f>
        <v>53900</v>
      </c>
      <c r="C92" s="11" t="s">
        <v>54</v>
      </c>
    </row>
    <row r="93" spans="1:3" ht="21" customHeight="1">
      <c r="A93" s="11" t="s">
        <v>187</v>
      </c>
      <c r="B93" s="1">
        <f>B92*核心参数输入!$B$27</f>
        <v>4312</v>
      </c>
      <c r="C93" s="11" t="s">
        <v>54</v>
      </c>
    </row>
    <row r="94" spans="1:3" ht="21" customHeight="1">
      <c r="A94" s="11" t="s">
        <v>188</v>
      </c>
      <c r="B94" s="13">
        <f>SUM(B92:B93)</f>
        <v>58212</v>
      </c>
      <c r="C94" s="11" t="s">
        <v>54</v>
      </c>
    </row>
    <row r="95" spans="1:3" ht="21" customHeight="1">
      <c r="A95" s="11" t="s">
        <v>189</v>
      </c>
      <c r="B95" s="1">
        <f>SUM(融资与还本付息!$D$96:$AH$96)</f>
        <v>1890</v>
      </c>
      <c r="C95" s="11" t="s">
        <v>54</v>
      </c>
    </row>
    <row r="96" spans="1:3" ht="21" customHeight="1">
      <c r="A96" s="11" t="s">
        <v>190</v>
      </c>
      <c r="B96" s="13">
        <f>B86+B94+B95</f>
        <v>68102</v>
      </c>
      <c r="C96" s="11" t="s">
        <v>54</v>
      </c>
    </row>
    <row r="97" spans="1:34" ht="21" customHeight="1">
      <c r="A97" s="11" t="s">
        <v>62</v>
      </c>
      <c r="B97" s="1">
        <f>核心参数输入!$B$28</f>
        <v>500</v>
      </c>
      <c r="C97" s="11" t="s">
        <v>54</v>
      </c>
    </row>
    <row r="98" spans="1:34" ht="21" customHeight="1">
      <c r="A98" s="11" t="s">
        <v>191</v>
      </c>
      <c r="B98" s="13">
        <f>SUM(B96:B97)</f>
        <v>68602</v>
      </c>
      <c r="C98" s="11" t="s">
        <v>54</v>
      </c>
    </row>
    <row r="99" spans="1:34" ht="21" customHeight="1">
      <c r="A99" s="11" t="s">
        <v>192</v>
      </c>
      <c r="B99" s="1">
        <f>(B86+B94)*核心参数输入!$B$14</f>
        <v>36416.600000000006</v>
      </c>
      <c r="C99" s="11" t="s">
        <v>54</v>
      </c>
    </row>
    <row r="100" spans="1:34" ht="21" customHeight="1">
      <c r="A100" s="11" t="s">
        <v>193</v>
      </c>
      <c r="B100" s="1">
        <f>B94*核心参数输入!$B$15</f>
        <v>26195.399999999998</v>
      </c>
      <c r="C100" s="11" t="s">
        <v>54</v>
      </c>
    </row>
    <row r="101" spans="1:34" ht="21" customHeight="1">
      <c r="A101" s="11" t="s">
        <v>194</v>
      </c>
      <c r="B101" s="1">
        <f>B86*核心参数输入!$B$15</f>
        <v>3599.9999999999995</v>
      </c>
      <c r="C101" s="11" t="s">
        <v>54</v>
      </c>
    </row>
    <row r="102" spans="1:34" ht="21" customHeight="1">
      <c r="A102" s="11" t="s">
        <v>195</v>
      </c>
      <c r="B102" s="1">
        <f>B96*核心参数输入!$B$14</f>
        <v>37456.100000000006</v>
      </c>
      <c r="C102" s="11" t="s">
        <v>54</v>
      </c>
    </row>
    <row r="103" spans="1:34" ht="21" customHeight="1">
      <c r="A103" s="11" t="s">
        <v>196</v>
      </c>
      <c r="B103" s="1">
        <f>(B94+B95)*核心参数输入!$B$15</f>
        <v>27045.899999999998</v>
      </c>
      <c r="C103" s="11" t="s">
        <v>54</v>
      </c>
    </row>
    <row r="104" spans="1:34" ht="21" customHeight="1">
      <c r="A104" s="11" t="s">
        <v>197</v>
      </c>
      <c r="B104" s="1">
        <f>B96*核心参数输入!$B$15+B97</f>
        <v>31145.899999999998</v>
      </c>
      <c r="C104" s="11" t="s">
        <v>54</v>
      </c>
    </row>
    <row r="106" spans="1:34" ht="24.95" customHeight="1">
      <c r="A106" s="15" t="s">
        <v>198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</row>
    <row r="108" spans="1:34" ht="21" customHeight="1">
      <c r="A108" s="11" t="s">
        <v>199</v>
      </c>
      <c r="B108" s="11" t="s">
        <v>54</v>
      </c>
      <c r="D108" s="1">
        <f>IF(D$4&lt;=核心参数输入!$B$9,IF(D$4=0,$B$86,0),0)</f>
        <v>8000</v>
      </c>
      <c r="E108" s="1">
        <f>IF(E$4&lt;=核心参数输入!$B$9,IF(E$4=0,$B$86,0),0)</f>
        <v>0</v>
      </c>
      <c r="F108" s="1">
        <f>IF(F$4&lt;=核心参数输入!$B$9,IF(F$4=0,$B$86,0),0)</f>
        <v>0</v>
      </c>
      <c r="G108" s="1">
        <f>IF(G$4&lt;=核心参数输入!$B$9,IF(G$4=0,$B$86,0),0)</f>
        <v>0</v>
      </c>
      <c r="H108" s="1">
        <f>IF(H$4&lt;=核心参数输入!$B$9,IF(H$4=0,$B$86,0),0)</f>
        <v>0</v>
      </c>
      <c r="I108" s="1">
        <f>IF(I$4&lt;=核心参数输入!$B$9,IF(I$4=0,$B$86,0),0)</f>
        <v>0</v>
      </c>
      <c r="J108" s="1">
        <f>IF(J$4&lt;=核心参数输入!$B$9,IF(J$4=0,$B$86,0),0)</f>
        <v>0</v>
      </c>
      <c r="K108" s="1">
        <f>IF(K$4&lt;=核心参数输入!$B$9,IF(K$4=0,$B$86,0),0)</f>
        <v>0</v>
      </c>
      <c r="L108" s="1">
        <f>IF(L$4&lt;=核心参数输入!$B$9,IF(L$4=0,$B$86,0),0)</f>
        <v>0</v>
      </c>
      <c r="M108" s="1">
        <f>IF(M$4&lt;=核心参数输入!$B$9,IF(M$4=0,$B$86,0),0)</f>
        <v>0</v>
      </c>
      <c r="N108" s="1">
        <f>IF(N$4&lt;=核心参数输入!$B$9,IF(N$4=0,$B$86,0),0)</f>
        <v>0</v>
      </c>
      <c r="O108" s="1">
        <f>IF(O$4&lt;=核心参数输入!$B$9,IF(O$4=0,$B$86,0),0)</f>
        <v>0</v>
      </c>
      <c r="P108" s="1">
        <f>IF(P$4&lt;=核心参数输入!$B$9,IF(P$4=0,$B$86,0),0)</f>
        <v>0</v>
      </c>
      <c r="Q108" s="1">
        <f>IF(Q$4&lt;=核心参数输入!$B$9,IF(Q$4=0,$B$86,0),0)</f>
        <v>0</v>
      </c>
      <c r="R108" s="1">
        <f>IF(R$4&lt;=核心参数输入!$B$9,IF(R$4=0,$B$86,0),0)</f>
        <v>0</v>
      </c>
      <c r="S108" s="1">
        <f>IF(S$4&lt;=核心参数输入!$B$9,IF(S$4=0,$B$86,0),0)</f>
        <v>0</v>
      </c>
      <c r="T108" s="1">
        <f>IF(T$4&lt;=核心参数输入!$B$9,IF(T$4=0,$B$86,0),0)</f>
        <v>0</v>
      </c>
      <c r="U108" s="1">
        <f>IF(U$4&lt;=核心参数输入!$B$9,IF(U$4=0,$B$86,0),0)</f>
        <v>0</v>
      </c>
      <c r="V108" s="1">
        <f>IF(V$4&lt;=核心参数输入!$B$9,IF(V$4=0,$B$86,0),0)</f>
        <v>0</v>
      </c>
      <c r="W108" s="1">
        <f>IF(W$4&lt;=核心参数输入!$B$9,IF(W$4=0,$B$86,0),0)</f>
        <v>0</v>
      </c>
      <c r="X108" s="1">
        <f>IF(X$4&lt;=核心参数输入!$B$9,IF(X$4=0,$B$86,0),0)</f>
        <v>0</v>
      </c>
      <c r="Y108" s="1">
        <f>IF(Y$4&lt;=核心参数输入!$B$9,IF(Y$4=0,$B$86,0),0)</f>
        <v>0</v>
      </c>
      <c r="Z108" s="1">
        <f>IF(Z$4&lt;=核心参数输入!$B$9,IF(Z$4=0,$B$86,0),0)</f>
        <v>0</v>
      </c>
      <c r="AA108" s="1">
        <f>IF(AA$4&lt;=核心参数输入!$B$9,IF(AA$4=0,$B$86,0),0)</f>
        <v>0</v>
      </c>
      <c r="AB108" s="1">
        <f>IF(AB$4&lt;=核心参数输入!$B$9,IF(AB$4=0,$B$86,0),0)</f>
        <v>0</v>
      </c>
      <c r="AC108" s="1">
        <f>IF(AC$4&lt;=核心参数输入!$B$9,IF(AC$4=0,$B$86,0),0)</f>
        <v>0</v>
      </c>
      <c r="AD108" s="1">
        <f>IF(AD$4&lt;=核心参数输入!$B$9,IF(AD$4=0,$B$86,0),0)</f>
        <v>0</v>
      </c>
      <c r="AE108" s="1">
        <f>IF(AE$4&lt;=核心参数输入!$B$9,IF(AE$4=0,$B$86,0),0)</f>
        <v>0</v>
      </c>
      <c r="AF108" s="1">
        <f>IF(AF$4&lt;=核心参数输入!$B$9,IF(AF$4=0,$B$86,0),0)</f>
        <v>0</v>
      </c>
      <c r="AG108" s="1">
        <f>IF(AG$4&lt;=核心参数输入!$B$9,IF(AG$4=0,$B$86,0),0)</f>
        <v>0</v>
      </c>
      <c r="AH108" s="1">
        <f>IF(AH$4&lt;=核心参数输入!$B$9,IF(AH$4=0,$B$86,0),0)</f>
        <v>0</v>
      </c>
    </row>
    <row r="109" spans="1:34" ht="21" customHeight="1">
      <c r="A109" s="11" t="s">
        <v>200</v>
      </c>
      <c r="B109" s="11" t="s">
        <v>54</v>
      </c>
      <c r="D109" s="1">
        <f>IF(D$4&lt;=核心参数输入!$B$9,$B$94*建筑面积与开发计划!D100,0)</f>
        <v>0</v>
      </c>
      <c r="E109" s="1">
        <f>IF(E$4&lt;=核心参数输入!$B$9,$B$94*建筑面积与开发计划!E100,0)</f>
        <v>17463.599999999999</v>
      </c>
      <c r="F109" s="1">
        <f>IF(F$4&lt;=核心参数输入!$B$9,$B$94*建筑面积与开发计划!F100,0)</f>
        <v>23284.800000000003</v>
      </c>
      <c r="G109" s="1">
        <f>IF(G$4&lt;=核心参数输入!$B$9,$B$94*建筑面积与开发计划!G100,0)</f>
        <v>17463.599999999999</v>
      </c>
      <c r="H109" s="1">
        <f>IF(H$4&lt;=核心参数输入!$B$9,$B$94*建筑面积与开发计划!H100,0)</f>
        <v>0</v>
      </c>
      <c r="I109" s="1">
        <f>IF(I$4&lt;=核心参数输入!$B$9,$B$94*建筑面积与开发计划!I100,0)</f>
        <v>0</v>
      </c>
      <c r="J109" s="1">
        <f>IF(J$4&lt;=核心参数输入!$B$9,$B$94*建筑面积与开发计划!J100,0)</f>
        <v>0</v>
      </c>
      <c r="K109" s="1">
        <f>IF(K$4&lt;=核心参数输入!$B$9,$B$94*建筑面积与开发计划!K100,0)</f>
        <v>0</v>
      </c>
      <c r="L109" s="1">
        <f>IF(L$4&lt;=核心参数输入!$B$9,$B$94*建筑面积与开发计划!L100,0)</f>
        <v>0</v>
      </c>
      <c r="M109" s="1">
        <f>IF(M$4&lt;=核心参数输入!$B$9,$B$94*建筑面积与开发计划!M100,0)</f>
        <v>0</v>
      </c>
      <c r="N109" s="1">
        <f>IF(N$4&lt;=核心参数输入!$B$9,$B$94*建筑面积与开发计划!N100,0)</f>
        <v>0</v>
      </c>
      <c r="O109" s="1">
        <f>IF(O$4&lt;=核心参数输入!$B$9,$B$94*建筑面积与开发计划!O100,0)</f>
        <v>0</v>
      </c>
      <c r="P109" s="1">
        <f>IF(P$4&lt;=核心参数输入!$B$9,$B$94*建筑面积与开发计划!P100,0)</f>
        <v>0</v>
      </c>
      <c r="Q109" s="1">
        <f>IF(Q$4&lt;=核心参数输入!$B$9,$B$94*建筑面积与开发计划!Q100,0)</f>
        <v>0</v>
      </c>
      <c r="R109" s="1">
        <f>IF(R$4&lt;=核心参数输入!$B$9,$B$94*建筑面积与开发计划!R100,0)</f>
        <v>0</v>
      </c>
      <c r="S109" s="1">
        <f>IF(S$4&lt;=核心参数输入!$B$9,$B$94*建筑面积与开发计划!S100,0)</f>
        <v>0</v>
      </c>
      <c r="T109" s="1">
        <f>IF(T$4&lt;=核心参数输入!$B$9,$B$94*建筑面积与开发计划!T100,0)</f>
        <v>0</v>
      </c>
      <c r="U109" s="1">
        <f>IF(U$4&lt;=核心参数输入!$B$9,$B$94*建筑面积与开发计划!U100,0)</f>
        <v>0</v>
      </c>
      <c r="V109" s="1">
        <f>IF(V$4&lt;=核心参数输入!$B$9,$B$94*建筑面积与开发计划!V100,0)</f>
        <v>0</v>
      </c>
      <c r="W109" s="1">
        <f>IF(W$4&lt;=核心参数输入!$B$9,$B$94*建筑面积与开发计划!W100,0)</f>
        <v>0</v>
      </c>
      <c r="X109" s="1">
        <f>IF(X$4&lt;=核心参数输入!$B$9,$B$94*建筑面积与开发计划!X100,0)</f>
        <v>0</v>
      </c>
      <c r="Y109" s="1">
        <f>IF(Y$4&lt;=核心参数输入!$B$9,$B$94*建筑面积与开发计划!Y100,0)</f>
        <v>0</v>
      </c>
      <c r="Z109" s="1">
        <f>IF(Z$4&lt;=核心参数输入!$B$9,$B$94*建筑面积与开发计划!Z100,0)</f>
        <v>0</v>
      </c>
      <c r="AA109" s="1">
        <f>IF(AA$4&lt;=核心参数输入!$B$9,$B$94*建筑面积与开发计划!AA100,0)</f>
        <v>0</v>
      </c>
      <c r="AB109" s="1">
        <f>IF(AB$4&lt;=核心参数输入!$B$9,$B$94*建筑面积与开发计划!AB100,0)</f>
        <v>0</v>
      </c>
      <c r="AC109" s="1">
        <f>IF(AC$4&lt;=核心参数输入!$B$9,$B$94*建筑面积与开发计划!AC100,0)</f>
        <v>0</v>
      </c>
      <c r="AD109" s="1">
        <f>IF(AD$4&lt;=核心参数输入!$B$9,$B$94*建筑面积与开发计划!AD100,0)</f>
        <v>0</v>
      </c>
      <c r="AE109" s="1">
        <f>IF(AE$4&lt;=核心参数输入!$B$9,$B$94*建筑面积与开发计划!AE100,0)</f>
        <v>0</v>
      </c>
      <c r="AF109" s="1">
        <f>IF(AF$4&lt;=核心参数输入!$B$9,$B$94*建筑面积与开发计划!AF100,0)</f>
        <v>0</v>
      </c>
      <c r="AG109" s="1">
        <f>IF(AG$4&lt;=核心参数输入!$B$9,$B$94*建筑面积与开发计划!AG100,0)</f>
        <v>0</v>
      </c>
      <c r="AH109" s="1">
        <f>IF(AH$4&lt;=核心参数输入!$B$9,$B$94*建筑面积与开发计划!AH100,0)</f>
        <v>0</v>
      </c>
    </row>
    <row r="110" spans="1:34" ht="21" customHeight="1">
      <c r="A110" s="11" t="s">
        <v>201</v>
      </c>
      <c r="B110" s="11" t="s">
        <v>54</v>
      </c>
      <c r="D110" s="1">
        <f>IF(D$4&lt;=核心参数输入!$B$9,SUM(D108:D109),0)</f>
        <v>8000</v>
      </c>
      <c r="E110" s="1">
        <f>IF(E$4&lt;=核心参数输入!$B$9,SUM(E108:E109),0)</f>
        <v>17463.599999999999</v>
      </c>
      <c r="F110" s="1">
        <f>IF(F$4&lt;=核心参数输入!$B$9,SUM(F108:F109),0)</f>
        <v>23284.800000000003</v>
      </c>
      <c r="G110" s="1">
        <f>IF(G$4&lt;=核心参数输入!$B$9,SUM(G108:G109),0)</f>
        <v>17463.599999999999</v>
      </c>
      <c r="H110" s="1">
        <f>IF(H$4&lt;=核心参数输入!$B$9,SUM(H108:H109),0)</f>
        <v>0</v>
      </c>
      <c r="I110" s="1">
        <f>IF(I$4&lt;=核心参数输入!$B$9,SUM(I108:I109),0)</f>
        <v>0</v>
      </c>
      <c r="J110" s="1">
        <f>IF(J$4&lt;=核心参数输入!$B$9,SUM(J108:J109),0)</f>
        <v>0</v>
      </c>
      <c r="K110" s="1">
        <f>IF(K$4&lt;=核心参数输入!$B$9,SUM(K108:K109),0)</f>
        <v>0</v>
      </c>
      <c r="L110" s="1">
        <f>IF(L$4&lt;=核心参数输入!$B$9,SUM(L108:L109),0)</f>
        <v>0</v>
      </c>
      <c r="M110" s="1">
        <f>IF(M$4&lt;=核心参数输入!$B$9,SUM(M108:M109),0)</f>
        <v>0</v>
      </c>
      <c r="N110" s="1">
        <f>IF(N$4&lt;=核心参数输入!$B$9,SUM(N108:N109),0)</f>
        <v>0</v>
      </c>
      <c r="O110" s="1">
        <f>IF(O$4&lt;=核心参数输入!$B$9,SUM(O108:O109),0)</f>
        <v>0</v>
      </c>
      <c r="P110" s="1">
        <f>IF(P$4&lt;=核心参数输入!$B$9,SUM(P108:P109),0)</f>
        <v>0</v>
      </c>
      <c r="Q110" s="1">
        <f>IF(Q$4&lt;=核心参数输入!$B$9,SUM(Q108:Q109),0)</f>
        <v>0</v>
      </c>
      <c r="R110" s="1">
        <f>IF(R$4&lt;=核心参数输入!$B$9,SUM(R108:R109),0)</f>
        <v>0</v>
      </c>
      <c r="S110" s="1">
        <f>IF(S$4&lt;=核心参数输入!$B$9,SUM(S108:S109),0)</f>
        <v>0</v>
      </c>
      <c r="T110" s="1">
        <f>IF(T$4&lt;=核心参数输入!$B$9,SUM(T108:T109),0)</f>
        <v>0</v>
      </c>
      <c r="U110" s="1">
        <f>IF(U$4&lt;=核心参数输入!$B$9,SUM(U108:U109),0)</f>
        <v>0</v>
      </c>
      <c r="V110" s="1">
        <f>IF(V$4&lt;=核心参数输入!$B$9,SUM(V108:V109),0)</f>
        <v>0</v>
      </c>
      <c r="W110" s="1">
        <f>IF(W$4&lt;=核心参数输入!$B$9,SUM(W108:W109),0)</f>
        <v>0</v>
      </c>
      <c r="X110" s="1">
        <f>IF(X$4&lt;=核心参数输入!$B$9,SUM(X108:X109),0)</f>
        <v>0</v>
      </c>
      <c r="Y110" s="1">
        <f>IF(Y$4&lt;=核心参数输入!$B$9,SUM(Y108:Y109),0)</f>
        <v>0</v>
      </c>
      <c r="Z110" s="1">
        <f>IF(Z$4&lt;=核心参数输入!$B$9,SUM(Z108:Z109),0)</f>
        <v>0</v>
      </c>
      <c r="AA110" s="1">
        <f>IF(AA$4&lt;=核心参数输入!$B$9,SUM(AA108:AA109),0)</f>
        <v>0</v>
      </c>
      <c r="AB110" s="1">
        <f>IF(AB$4&lt;=核心参数输入!$B$9,SUM(AB108:AB109),0)</f>
        <v>0</v>
      </c>
      <c r="AC110" s="1">
        <f>IF(AC$4&lt;=核心参数输入!$B$9,SUM(AC108:AC109),0)</f>
        <v>0</v>
      </c>
      <c r="AD110" s="1">
        <f>IF(AD$4&lt;=核心参数输入!$B$9,SUM(AD108:AD109),0)</f>
        <v>0</v>
      </c>
      <c r="AE110" s="1">
        <f>IF(AE$4&lt;=核心参数输入!$B$9,SUM(AE108:AE109),0)</f>
        <v>0</v>
      </c>
      <c r="AF110" s="1">
        <f>IF(AF$4&lt;=核心参数输入!$B$9,SUM(AF108:AF109),0)</f>
        <v>0</v>
      </c>
      <c r="AG110" s="1">
        <f>IF(AG$4&lt;=核心参数输入!$B$9,SUM(AG108:AG109),0)</f>
        <v>0</v>
      </c>
      <c r="AH110" s="1">
        <f>IF(AH$4&lt;=核心参数输入!$B$9,SUM(AH108:AH109),0)</f>
        <v>0</v>
      </c>
    </row>
    <row r="111" spans="1:34" ht="21" customHeight="1">
      <c r="A111" s="11" t="s">
        <v>202</v>
      </c>
      <c r="B111" s="11" t="s">
        <v>54</v>
      </c>
      <c r="D111" s="1">
        <f>IF(D$4&lt;=核心参数输入!$B$9,IF(D$4=核心参数输入!$B$16+1,核心参数输入!$B$28,0),0)</f>
        <v>0</v>
      </c>
      <c r="E111" s="1">
        <f>IF(E$4&lt;=核心参数输入!$B$9,IF(E$4=核心参数输入!$B$16+1,核心参数输入!$B$28,0),0)</f>
        <v>0</v>
      </c>
      <c r="F111" s="1">
        <f>IF(F$4&lt;=核心参数输入!$B$9,IF(F$4=核心参数输入!$B$16+1,核心参数输入!$B$28,0),0)</f>
        <v>0</v>
      </c>
      <c r="G111" s="1">
        <f>IF(G$4&lt;=核心参数输入!$B$9,IF(G$4=核心参数输入!$B$16+1,核心参数输入!$B$28,0),0)</f>
        <v>0</v>
      </c>
      <c r="H111" s="1">
        <f>IF(H$4&lt;=核心参数输入!$B$9,IF(H$4=核心参数输入!$B$16+1,核心参数输入!$B$28,0),0)</f>
        <v>500</v>
      </c>
      <c r="I111" s="1">
        <f>IF(I$4&lt;=核心参数输入!$B$9,IF(I$4=核心参数输入!$B$16+1,核心参数输入!$B$28,0),0)</f>
        <v>0</v>
      </c>
      <c r="J111" s="1">
        <f>IF(J$4&lt;=核心参数输入!$B$9,IF(J$4=核心参数输入!$B$16+1,核心参数输入!$B$28,0),0)</f>
        <v>0</v>
      </c>
      <c r="K111" s="1">
        <f>IF(K$4&lt;=核心参数输入!$B$9,IF(K$4=核心参数输入!$B$16+1,核心参数输入!$B$28,0),0)</f>
        <v>0</v>
      </c>
      <c r="L111" s="1">
        <f>IF(L$4&lt;=核心参数输入!$B$9,IF(L$4=核心参数输入!$B$16+1,核心参数输入!$B$28,0),0)</f>
        <v>0</v>
      </c>
      <c r="M111" s="1">
        <f>IF(M$4&lt;=核心参数输入!$B$9,IF(M$4=核心参数输入!$B$16+1,核心参数输入!$B$28,0),0)</f>
        <v>0</v>
      </c>
      <c r="N111" s="1">
        <f>IF(N$4&lt;=核心参数输入!$B$9,IF(N$4=核心参数输入!$B$16+1,核心参数输入!$B$28,0),0)</f>
        <v>0</v>
      </c>
      <c r="O111" s="1">
        <f>IF(O$4&lt;=核心参数输入!$B$9,IF(O$4=核心参数输入!$B$16+1,核心参数输入!$B$28,0),0)</f>
        <v>0</v>
      </c>
      <c r="P111" s="1">
        <f>IF(P$4&lt;=核心参数输入!$B$9,IF(P$4=核心参数输入!$B$16+1,核心参数输入!$B$28,0),0)</f>
        <v>0</v>
      </c>
      <c r="Q111" s="1">
        <f>IF(Q$4&lt;=核心参数输入!$B$9,IF(Q$4=核心参数输入!$B$16+1,核心参数输入!$B$28,0),0)</f>
        <v>0</v>
      </c>
      <c r="R111" s="1">
        <f>IF(R$4&lt;=核心参数输入!$B$9,IF(R$4=核心参数输入!$B$16+1,核心参数输入!$B$28,0),0)</f>
        <v>0</v>
      </c>
      <c r="S111" s="1">
        <f>IF(S$4&lt;=核心参数输入!$B$9,IF(S$4=核心参数输入!$B$16+1,核心参数输入!$B$28,0),0)</f>
        <v>0</v>
      </c>
      <c r="T111" s="1">
        <f>IF(T$4&lt;=核心参数输入!$B$9,IF(T$4=核心参数输入!$B$16+1,核心参数输入!$B$28,0),0)</f>
        <v>0</v>
      </c>
      <c r="U111" s="1">
        <f>IF(U$4&lt;=核心参数输入!$B$9,IF(U$4=核心参数输入!$B$16+1,核心参数输入!$B$28,0),0)</f>
        <v>0</v>
      </c>
      <c r="V111" s="1">
        <f>IF(V$4&lt;=核心参数输入!$B$9,IF(V$4=核心参数输入!$B$16+1,核心参数输入!$B$28,0),0)</f>
        <v>0</v>
      </c>
      <c r="W111" s="1">
        <f>IF(W$4&lt;=核心参数输入!$B$9,IF(W$4=核心参数输入!$B$16+1,核心参数输入!$B$28,0),0)</f>
        <v>0</v>
      </c>
      <c r="X111" s="1">
        <f>IF(X$4&lt;=核心参数输入!$B$9,IF(X$4=核心参数输入!$B$16+1,核心参数输入!$B$28,0),0)</f>
        <v>0</v>
      </c>
      <c r="Y111" s="1">
        <f>IF(Y$4&lt;=核心参数输入!$B$9,IF(Y$4=核心参数输入!$B$16+1,核心参数输入!$B$28,0),0)</f>
        <v>0</v>
      </c>
      <c r="Z111" s="1">
        <f>IF(Z$4&lt;=核心参数输入!$B$9,IF(Z$4=核心参数输入!$B$16+1,核心参数输入!$B$28,0),0)</f>
        <v>0</v>
      </c>
      <c r="AA111" s="1">
        <f>IF(AA$4&lt;=核心参数输入!$B$9,IF(AA$4=核心参数输入!$B$16+1,核心参数输入!$B$28,0),0)</f>
        <v>0</v>
      </c>
      <c r="AB111" s="1">
        <f>IF(AB$4&lt;=核心参数输入!$B$9,IF(AB$4=核心参数输入!$B$16+1,核心参数输入!$B$28,0),0)</f>
        <v>0</v>
      </c>
      <c r="AC111" s="1">
        <f>IF(AC$4&lt;=核心参数输入!$B$9,IF(AC$4=核心参数输入!$B$16+1,核心参数输入!$B$28,0),0)</f>
        <v>0</v>
      </c>
      <c r="AD111" s="1">
        <f>IF(AD$4&lt;=核心参数输入!$B$9,IF(AD$4=核心参数输入!$B$16+1,核心参数输入!$B$28,0),0)</f>
        <v>0</v>
      </c>
      <c r="AE111" s="1">
        <f>IF(AE$4&lt;=核心参数输入!$B$9,IF(AE$4=核心参数输入!$B$16+1,核心参数输入!$B$28,0),0)</f>
        <v>0</v>
      </c>
      <c r="AF111" s="1">
        <f>IF(AF$4&lt;=核心参数输入!$B$9,IF(AF$4=核心参数输入!$B$16+1,核心参数输入!$B$28,0),0)</f>
        <v>0</v>
      </c>
      <c r="AG111" s="1">
        <f>IF(AG$4&lt;=核心参数输入!$B$9,IF(AG$4=核心参数输入!$B$16+1,核心参数输入!$B$28,0),0)</f>
        <v>0</v>
      </c>
      <c r="AH111" s="1">
        <f>IF(AH$4&lt;=核心参数输入!$B$9,IF(AH$4=核心参数输入!$B$16+1,核心参数输入!$B$28,0),0)</f>
        <v>0</v>
      </c>
    </row>
    <row r="112" spans="1:34" ht="21" customHeight="1">
      <c r="A112" s="11" t="s">
        <v>203</v>
      </c>
      <c r="B112" s="11" t="s">
        <v>54</v>
      </c>
      <c r="D112" s="1">
        <f>IF(D$4&lt;=核心参数输入!$B$9,IF(AND(D$4=核心参数输入!$B$9,核心参数输入!$B$9&gt;核心参数输入!$B$16),核心参数输入!$B$28,0),0)</f>
        <v>0</v>
      </c>
      <c r="E112" s="1">
        <f>IF(E$4&lt;=核心参数输入!$B$9,IF(AND(E$4=核心参数输入!$B$9,核心参数输入!$B$9&gt;核心参数输入!$B$16),核心参数输入!$B$28,0),0)</f>
        <v>0</v>
      </c>
      <c r="F112" s="1">
        <f>IF(F$4&lt;=核心参数输入!$B$9,IF(AND(F$4=核心参数输入!$B$9,核心参数输入!$B$9&gt;核心参数输入!$B$16),核心参数输入!$B$28,0),0)</f>
        <v>0</v>
      </c>
      <c r="G112" s="1">
        <f>IF(G$4&lt;=核心参数输入!$B$9,IF(AND(G$4=核心参数输入!$B$9,核心参数输入!$B$9&gt;核心参数输入!$B$16),核心参数输入!$B$28,0),0)</f>
        <v>0</v>
      </c>
      <c r="H112" s="1">
        <f>IF(H$4&lt;=核心参数输入!$B$9,IF(AND(H$4=核心参数输入!$B$9,核心参数输入!$B$9&gt;核心参数输入!$B$16),核心参数输入!$B$28,0),0)</f>
        <v>0</v>
      </c>
      <c r="I112" s="1">
        <f>IF(I$4&lt;=核心参数输入!$B$9,IF(AND(I$4=核心参数输入!$B$9,核心参数输入!$B$9&gt;核心参数输入!$B$16),核心参数输入!$B$28,0),0)</f>
        <v>0</v>
      </c>
      <c r="J112" s="1">
        <f>IF(J$4&lt;=核心参数输入!$B$9,IF(AND(J$4=核心参数输入!$B$9,核心参数输入!$B$9&gt;核心参数输入!$B$16),核心参数输入!$B$28,0),0)</f>
        <v>0</v>
      </c>
      <c r="K112" s="1">
        <f>IF(K$4&lt;=核心参数输入!$B$9,IF(AND(K$4=核心参数输入!$B$9,核心参数输入!$B$9&gt;核心参数输入!$B$16),核心参数输入!$B$28,0),0)</f>
        <v>0</v>
      </c>
      <c r="L112" s="1">
        <f>IF(L$4&lt;=核心参数输入!$B$9,IF(AND(L$4=核心参数输入!$B$9,核心参数输入!$B$9&gt;核心参数输入!$B$16),核心参数输入!$B$28,0),0)</f>
        <v>0</v>
      </c>
      <c r="M112" s="1">
        <f>IF(M$4&lt;=核心参数输入!$B$9,IF(AND(M$4=核心参数输入!$B$9,核心参数输入!$B$9&gt;核心参数输入!$B$16),核心参数输入!$B$28,0),0)</f>
        <v>0</v>
      </c>
      <c r="N112" s="1">
        <f>IF(N$4&lt;=核心参数输入!$B$9,IF(AND(N$4=核心参数输入!$B$9,核心参数输入!$B$9&gt;核心参数输入!$B$16),核心参数输入!$B$28,0),0)</f>
        <v>0</v>
      </c>
      <c r="O112" s="1">
        <f>IF(O$4&lt;=核心参数输入!$B$9,IF(AND(O$4=核心参数输入!$B$9,核心参数输入!$B$9&gt;核心参数输入!$B$16),核心参数输入!$B$28,0),0)</f>
        <v>0</v>
      </c>
      <c r="P112" s="1">
        <f>IF(P$4&lt;=核心参数输入!$B$9,IF(AND(P$4=核心参数输入!$B$9,核心参数输入!$B$9&gt;核心参数输入!$B$16),核心参数输入!$B$28,0),0)</f>
        <v>0</v>
      </c>
      <c r="Q112" s="1">
        <f>IF(Q$4&lt;=核心参数输入!$B$9,IF(AND(Q$4=核心参数输入!$B$9,核心参数输入!$B$9&gt;核心参数输入!$B$16),核心参数输入!$B$28,0),0)</f>
        <v>0</v>
      </c>
      <c r="R112" s="1">
        <f>IF(R$4&lt;=核心参数输入!$B$9,IF(AND(R$4=核心参数输入!$B$9,核心参数输入!$B$9&gt;核心参数输入!$B$16),核心参数输入!$B$28,0),0)</f>
        <v>0</v>
      </c>
      <c r="S112" s="1">
        <f>IF(S$4&lt;=核心参数输入!$B$9,IF(AND(S$4=核心参数输入!$B$9,核心参数输入!$B$9&gt;核心参数输入!$B$16),核心参数输入!$B$28,0),0)</f>
        <v>0</v>
      </c>
      <c r="T112" s="1">
        <f>IF(T$4&lt;=核心参数输入!$B$9,IF(AND(T$4=核心参数输入!$B$9,核心参数输入!$B$9&gt;核心参数输入!$B$16),核心参数输入!$B$28,0),0)</f>
        <v>0</v>
      </c>
      <c r="U112" s="1">
        <f>IF(U$4&lt;=核心参数输入!$B$9,IF(AND(U$4=核心参数输入!$B$9,核心参数输入!$B$9&gt;核心参数输入!$B$16),核心参数输入!$B$28,0),0)</f>
        <v>0</v>
      </c>
      <c r="V112" s="1">
        <f>IF(V$4&lt;=核心参数输入!$B$9,IF(AND(V$4=核心参数输入!$B$9,核心参数输入!$B$9&gt;核心参数输入!$B$16),核心参数输入!$B$28,0),0)</f>
        <v>0</v>
      </c>
      <c r="W112" s="1">
        <f>IF(W$4&lt;=核心参数输入!$B$9,IF(AND(W$4=核心参数输入!$B$9,核心参数输入!$B$9&gt;核心参数输入!$B$16),核心参数输入!$B$28,0),0)</f>
        <v>0</v>
      </c>
      <c r="X112" s="1">
        <f>IF(X$4&lt;=核心参数输入!$B$9,IF(AND(X$4=核心参数输入!$B$9,核心参数输入!$B$9&gt;核心参数输入!$B$16),核心参数输入!$B$28,0),0)</f>
        <v>500</v>
      </c>
      <c r="Y112" s="1">
        <f>IF(Y$4&lt;=核心参数输入!$B$9,IF(AND(Y$4=核心参数输入!$B$9,核心参数输入!$B$9&gt;核心参数输入!$B$16),核心参数输入!$B$28,0),0)</f>
        <v>0</v>
      </c>
      <c r="Z112" s="1">
        <f>IF(Z$4&lt;=核心参数输入!$B$9,IF(AND(Z$4=核心参数输入!$B$9,核心参数输入!$B$9&gt;核心参数输入!$B$16),核心参数输入!$B$28,0),0)</f>
        <v>0</v>
      </c>
      <c r="AA112" s="1">
        <f>IF(AA$4&lt;=核心参数输入!$B$9,IF(AND(AA$4=核心参数输入!$B$9,核心参数输入!$B$9&gt;核心参数输入!$B$16),核心参数输入!$B$28,0),0)</f>
        <v>0</v>
      </c>
      <c r="AB112" s="1">
        <f>IF(AB$4&lt;=核心参数输入!$B$9,IF(AND(AB$4=核心参数输入!$B$9,核心参数输入!$B$9&gt;核心参数输入!$B$16),核心参数输入!$B$28,0),0)</f>
        <v>0</v>
      </c>
      <c r="AC112" s="1">
        <f>IF(AC$4&lt;=核心参数输入!$B$9,IF(AND(AC$4=核心参数输入!$B$9,核心参数输入!$B$9&gt;核心参数输入!$B$16),核心参数输入!$B$28,0),0)</f>
        <v>0</v>
      </c>
      <c r="AD112" s="1">
        <f>IF(AD$4&lt;=核心参数输入!$B$9,IF(AND(AD$4=核心参数输入!$B$9,核心参数输入!$B$9&gt;核心参数输入!$B$16),核心参数输入!$B$28,0),0)</f>
        <v>0</v>
      </c>
      <c r="AE112" s="1">
        <f>IF(AE$4&lt;=核心参数输入!$B$9,IF(AND(AE$4=核心参数输入!$B$9,核心参数输入!$B$9&gt;核心参数输入!$B$16),核心参数输入!$B$28,0),0)</f>
        <v>0</v>
      </c>
      <c r="AF112" s="1">
        <f>IF(AF$4&lt;=核心参数输入!$B$9,IF(AND(AF$4=核心参数输入!$B$9,核心参数输入!$B$9&gt;核心参数输入!$B$16),核心参数输入!$B$28,0),0)</f>
        <v>0</v>
      </c>
      <c r="AG112" s="1">
        <f>IF(AG$4&lt;=核心参数输入!$B$9,IF(AND(AG$4=核心参数输入!$B$9,核心参数输入!$B$9&gt;核心参数输入!$B$16),核心参数输入!$B$28,0),0)</f>
        <v>0</v>
      </c>
      <c r="AH112" s="1">
        <f>IF(AH$4&lt;=核心参数输入!$B$9,IF(AND(AH$4=核心参数输入!$B$9,核心参数输入!$B$9&gt;核心参数输入!$B$16),核心参数输入!$B$28,0),0)</f>
        <v>0</v>
      </c>
    </row>
    <row r="113" spans="1:34" ht="21" customHeight="1">
      <c r="A113" s="11" t="s">
        <v>204</v>
      </c>
      <c r="B113" s="11" t="s">
        <v>54</v>
      </c>
      <c r="D113" s="1">
        <f>IF(D$4&lt;=核心参数输入!$B$9,D110+D111,0)</f>
        <v>8000</v>
      </c>
      <c r="E113" s="1">
        <f>IF(E$4&lt;=核心参数输入!$B$9,E110+E111,0)</f>
        <v>17463.599999999999</v>
      </c>
      <c r="F113" s="1">
        <f>IF(F$4&lt;=核心参数输入!$B$9,F110+F111,0)</f>
        <v>23284.800000000003</v>
      </c>
      <c r="G113" s="1">
        <f>IF(G$4&lt;=核心参数输入!$B$9,G110+G111,0)</f>
        <v>17463.599999999999</v>
      </c>
      <c r="H113" s="1">
        <f>IF(H$4&lt;=核心参数输入!$B$9,H110+H111,0)</f>
        <v>500</v>
      </c>
      <c r="I113" s="1">
        <f>IF(I$4&lt;=核心参数输入!$B$9,I110+I111,0)</f>
        <v>0</v>
      </c>
      <c r="J113" s="1">
        <f>IF(J$4&lt;=核心参数输入!$B$9,J110+J111,0)</f>
        <v>0</v>
      </c>
      <c r="K113" s="1">
        <f>IF(K$4&lt;=核心参数输入!$B$9,K110+K111,0)</f>
        <v>0</v>
      </c>
      <c r="L113" s="1">
        <f>IF(L$4&lt;=核心参数输入!$B$9,L110+L111,0)</f>
        <v>0</v>
      </c>
      <c r="M113" s="1">
        <f>IF(M$4&lt;=核心参数输入!$B$9,M110+M111,0)</f>
        <v>0</v>
      </c>
      <c r="N113" s="1">
        <f>IF(N$4&lt;=核心参数输入!$B$9,N110+N111,0)</f>
        <v>0</v>
      </c>
      <c r="O113" s="1">
        <f>IF(O$4&lt;=核心参数输入!$B$9,O110+O111,0)</f>
        <v>0</v>
      </c>
      <c r="P113" s="1">
        <f>IF(P$4&lt;=核心参数输入!$B$9,P110+P111,0)</f>
        <v>0</v>
      </c>
      <c r="Q113" s="1">
        <f>IF(Q$4&lt;=核心参数输入!$B$9,Q110+Q111,0)</f>
        <v>0</v>
      </c>
      <c r="R113" s="1">
        <f>IF(R$4&lt;=核心参数输入!$B$9,R110+R111,0)</f>
        <v>0</v>
      </c>
      <c r="S113" s="1">
        <f>IF(S$4&lt;=核心参数输入!$B$9,S110+S111,0)</f>
        <v>0</v>
      </c>
      <c r="T113" s="1">
        <f>IF(T$4&lt;=核心参数输入!$B$9,T110+T111,0)</f>
        <v>0</v>
      </c>
      <c r="U113" s="1">
        <f>IF(U$4&lt;=核心参数输入!$B$9,U110+U111,0)</f>
        <v>0</v>
      </c>
      <c r="V113" s="1">
        <f>IF(V$4&lt;=核心参数输入!$B$9,V110+V111,0)</f>
        <v>0</v>
      </c>
      <c r="W113" s="1">
        <f>IF(W$4&lt;=核心参数输入!$B$9,W110+W111,0)</f>
        <v>0</v>
      </c>
      <c r="X113" s="1">
        <f>IF(X$4&lt;=核心参数输入!$B$9,X110+X111,0)</f>
        <v>0</v>
      </c>
      <c r="Y113" s="1">
        <f>IF(Y$4&lt;=核心参数输入!$B$9,Y110+Y111,0)</f>
        <v>0</v>
      </c>
      <c r="Z113" s="1">
        <f>IF(Z$4&lt;=核心参数输入!$B$9,Z110+Z111,0)</f>
        <v>0</v>
      </c>
      <c r="AA113" s="1">
        <f>IF(AA$4&lt;=核心参数输入!$B$9,AA110+AA111,0)</f>
        <v>0</v>
      </c>
      <c r="AB113" s="1">
        <f>IF(AB$4&lt;=核心参数输入!$B$9,AB110+AB111,0)</f>
        <v>0</v>
      </c>
      <c r="AC113" s="1">
        <f>IF(AC$4&lt;=核心参数输入!$B$9,AC110+AC111,0)</f>
        <v>0</v>
      </c>
      <c r="AD113" s="1">
        <f>IF(AD$4&lt;=核心参数输入!$B$9,AD110+AD111,0)</f>
        <v>0</v>
      </c>
      <c r="AE113" s="1">
        <f>IF(AE$4&lt;=核心参数输入!$B$9,AE110+AE111,0)</f>
        <v>0</v>
      </c>
      <c r="AF113" s="1">
        <f>IF(AF$4&lt;=核心参数输入!$B$9,AF110+AF111,0)</f>
        <v>0</v>
      </c>
      <c r="AG113" s="1">
        <f>IF(AG$4&lt;=核心参数输入!$B$9,AG110+AG111,0)</f>
        <v>0</v>
      </c>
      <c r="AH113" s="1">
        <f>IF(AH$4&lt;=核心参数输入!$B$9,AH110+AH111,0)</f>
        <v>0</v>
      </c>
    </row>
    <row r="114" spans="1:34" ht="21" customHeight="1">
      <c r="A114" s="11" t="s">
        <v>205</v>
      </c>
      <c r="B114" s="11" t="s">
        <v>54</v>
      </c>
      <c r="D114" s="1">
        <f>IF(D$4&lt;=核心参数输入!$B$9,融资与还本付息!D96,0)</f>
        <v>0</v>
      </c>
      <c r="E114" s="1">
        <f>IF(E$4&lt;=核心参数输入!$B$9,融资与还本付息!E96,0)</f>
        <v>189</v>
      </c>
      <c r="F114" s="1">
        <f>IF(F$4&lt;=核心参数输入!$B$9,融资与还本付息!F96,0)</f>
        <v>630</v>
      </c>
      <c r="G114" s="1">
        <f>IF(G$4&lt;=核心参数输入!$B$9,融资与还本付息!G96,0)</f>
        <v>1071</v>
      </c>
      <c r="H114" s="1">
        <f>IF(H$4&lt;=核心参数输入!$B$9,融资与还本付息!H96,0)</f>
        <v>0</v>
      </c>
      <c r="I114" s="1">
        <f>IF(I$4&lt;=核心参数输入!$B$9,融资与还本付息!I96,0)</f>
        <v>0</v>
      </c>
      <c r="J114" s="1">
        <f>IF(J$4&lt;=核心参数输入!$B$9,融资与还本付息!J96,0)</f>
        <v>0</v>
      </c>
      <c r="K114" s="1">
        <f>IF(K$4&lt;=核心参数输入!$B$9,融资与还本付息!K96,0)</f>
        <v>0</v>
      </c>
      <c r="L114" s="1">
        <f>IF(L$4&lt;=核心参数输入!$B$9,融资与还本付息!L96,0)</f>
        <v>0</v>
      </c>
      <c r="M114" s="1">
        <f>IF(M$4&lt;=核心参数输入!$B$9,融资与还本付息!M96,0)</f>
        <v>0</v>
      </c>
      <c r="N114" s="1">
        <f>IF(N$4&lt;=核心参数输入!$B$9,融资与还本付息!N96,0)</f>
        <v>0</v>
      </c>
      <c r="O114" s="1">
        <f>IF(O$4&lt;=核心参数输入!$B$9,融资与还本付息!O96,0)</f>
        <v>0</v>
      </c>
      <c r="P114" s="1">
        <f>IF(P$4&lt;=核心参数输入!$B$9,融资与还本付息!P96,0)</f>
        <v>0</v>
      </c>
      <c r="Q114" s="1">
        <f>IF(Q$4&lt;=核心参数输入!$B$9,融资与还本付息!Q96,0)</f>
        <v>0</v>
      </c>
      <c r="R114" s="1">
        <f>IF(R$4&lt;=核心参数输入!$B$9,融资与还本付息!R96,0)</f>
        <v>0</v>
      </c>
      <c r="S114" s="1">
        <f>IF(S$4&lt;=核心参数输入!$B$9,融资与还本付息!S96,0)</f>
        <v>0</v>
      </c>
      <c r="T114" s="1">
        <f>IF(T$4&lt;=核心参数输入!$B$9,融资与还本付息!T96,0)</f>
        <v>0</v>
      </c>
      <c r="U114" s="1">
        <f>IF(U$4&lt;=核心参数输入!$B$9,融资与还本付息!U96,0)</f>
        <v>0</v>
      </c>
      <c r="V114" s="1">
        <f>IF(V$4&lt;=核心参数输入!$B$9,融资与还本付息!V96,0)</f>
        <v>0</v>
      </c>
      <c r="W114" s="1">
        <f>IF(W$4&lt;=核心参数输入!$B$9,融资与还本付息!W96,0)</f>
        <v>0</v>
      </c>
      <c r="X114" s="1">
        <f>IF(X$4&lt;=核心参数输入!$B$9,融资与还本付息!X96,0)</f>
        <v>0</v>
      </c>
      <c r="Y114" s="1">
        <f>IF(Y$4&lt;=核心参数输入!$B$9,融资与还本付息!Y96,0)</f>
        <v>0</v>
      </c>
      <c r="Z114" s="1">
        <f>IF(Z$4&lt;=核心参数输入!$B$9,融资与还本付息!Z96,0)</f>
        <v>0</v>
      </c>
      <c r="AA114" s="1">
        <f>IF(AA$4&lt;=核心参数输入!$B$9,融资与还本付息!AA96,0)</f>
        <v>0</v>
      </c>
      <c r="AB114" s="1">
        <f>IF(AB$4&lt;=核心参数输入!$B$9,融资与还本付息!AB96,0)</f>
        <v>0</v>
      </c>
      <c r="AC114" s="1">
        <f>IF(AC$4&lt;=核心参数输入!$B$9,融资与还本付息!AC96,0)</f>
        <v>0</v>
      </c>
      <c r="AD114" s="1">
        <f>IF(AD$4&lt;=核心参数输入!$B$9,融资与还本付息!AD96,0)</f>
        <v>0</v>
      </c>
      <c r="AE114" s="1">
        <f>IF(AE$4&lt;=核心参数输入!$B$9,融资与还本付息!AE96,0)</f>
        <v>0</v>
      </c>
      <c r="AF114" s="1">
        <f>IF(AF$4&lt;=核心参数输入!$B$9,融资与还本付息!AF96,0)</f>
        <v>0</v>
      </c>
      <c r="AG114" s="1">
        <f>IF(AG$4&lt;=核心参数输入!$B$9,融资与还本付息!AG96,0)</f>
        <v>0</v>
      </c>
      <c r="AH114" s="1">
        <f>IF(AH$4&lt;=核心参数输入!$B$9,融资与还本付息!AH96,0)</f>
        <v>0</v>
      </c>
    </row>
    <row r="115" spans="1:34" ht="21" customHeight="1">
      <c r="A115" s="11" t="s">
        <v>206</v>
      </c>
      <c r="B115" s="11" t="s">
        <v>54</v>
      </c>
      <c r="D115" s="1">
        <f>IF(D$4&lt;=核心参数输入!$B$9,D113+D114,0)</f>
        <v>8000</v>
      </c>
      <c r="E115" s="1">
        <f>IF(E$4&lt;=核心参数输入!$B$9,E113+E114,0)</f>
        <v>17652.599999999999</v>
      </c>
      <c r="F115" s="1">
        <f>IF(F$4&lt;=核心参数输入!$B$9,F113+F114,0)</f>
        <v>23914.800000000003</v>
      </c>
      <c r="G115" s="1">
        <f>IF(G$4&lt;=核心参数输入!$B$9,G113+G114,0)</f>
        <v>18534.599999999999</v>
      </c>
      <c r="H115" s="1">
        <f>IF(H$4&lt;=核心参数输入!$B$9,H113+H114,0)</f>
        <v>500</v>
      </c>
      <c r="I115" s="1">
        <f>IF(I$4&lt;=核心参数输入!$B$9,I113+I114,0)</f>
        <v>0</v>
      </c>
      <c r="J115" s="1">
        <f>IF(J$4&lt;=核心参数输入!$B$9,J113+J114,0)</f>
        <v>0</v>
      </c>
      <c r="K115" s="1">
        <f>IF(K$4&lt;=核心参数输入!$B$9,K113+K114,0)</f>
        <v>0</v>
      </c>
      <c r="L115" s="1">
        <f>IF(L$4&lt;=核心参数输入!$B$9,L113+L114,0)</f>
        <v>0</v>
      </c>
      <c r="M115" s="1">
        <f>IF(M$4&lt;=核心参数输入!$B$9,M113+M114,0)</f>
        <v>0</v>
      </c>
      <c r="N115" s="1">
        <f>IF(N$4&lt;=核心参数输入!$B$9,N113+N114,0)</f>
        <v>0</v>
      </c>
      <c r="O115" s="1">
        <f>IF(O$4&lt;=核心参数输入!$B$9,O113+O114,0)</f>
        <v>0</v>
      </c>
      <c r="P115" s="1">
        <f>IF(P$4&lt;=核心参数输入!$B$9,P113+P114,0)</f>
        <v>0</v>
      </c>
      <c r="Q115" s="1">
        <f>IF(Q$4&lt;=核心参数输入!$B$9,Q113+Q114,0)</f>
        <v>0</v>
      </c>
      <c r="R115" s="1">
        <f>IF(R$4&lt;=核心参数输入!$B$9,R113+R114,0)</f>
        <v>0</v>
      </c>
      <c r="S115" s="1">
        <f>IF(S$4&lt;=核心参数输入!$B$9,S113+S114,0)</f>
        <v>0</v>
      </c>
      <c r="T115" s="1">
        <f>IF(T$4&lt;=核心参数输入!$B$9,T113+T114,0)</f>
        <v>0</v>
      </c>
      <c r="U115" s="1">
        <f>IF(U$4&lt;=核心参数输入!$B$9,U113+U114,0)</f>
        <v>0</v>
      </c>
      <c r="V115" s="1">
        <f>IF(V$4&lt;=核心参数输入!$B$9,V113+V114,0)</f>
        <v>0</v>
      </c>
      <c r="W115" s="1">
        <f>IF(W$4&lt;=核心参数输入!$B$9,W113+W114,0)</f>
        <v>0</v>
      </c>
      <c r="X115" s="1">
        <f>IF(X$4&lt;=核心参数输入!$B$9,X113+X114,0)</f>
        <v>0</v>
      </c>
      <c r="Y115" s="1">
        <f>IF(Y$4&lt;=核心参数输入!$B$9,Y113+Y114,0)</f>
        <v>0</v>
      </c>
      <c r="Z115" s="1">
        <f>IF(Z$4&lt;=核心参数输入!$B$9,Z113+Z114,0)</f>
        <v>0</v>
      </c>
      <c r="AA115" s="1">
        <f>IF(AA$4&lt;=核心参数输入!$B$9,AA113+AA114,0)</f>
        <v>0</v>
      </c>
      <c r="AB115" s="1">
        <f>IF(AB$4&lt;=核心参数输入!$B$9,AB113+AB114,0)</f>
        <v>0</v>
      </c>
      <c r="AC115" s="1">
        <f>IF(AC$4&lt;=核心参数输入!$B$9,AC113+AC114,0)</f>
        <v>0</v>
      </c>
      <c r="AD115" s="1">
        <f>IF(AD$4&lt;=核心参数输入!$B$9,AD113+AD114,0)</f>
        <v>0</v>
      </c>
      <c r="AE115" s="1">
        <f>IF(AE$4&lt;=核心参数输入!$B$9,AE113+AE114,0)</f>
        <v>0</v>
      </c>
      <c r="AF115" s="1">
        <f>IF(AF$4&lt;=核心参数输入!$B$9,AF113+AF114,0)</f>
        <v>0</v>
      </c>
      <c r="AG115" s="1">
        <f>IF(AG$4&lt;=核心参数输入!$B$9,AG113+AG114,0)</f>
        <v>0</v>
      </c>
      <c r="AH115" s="1">
        <f>IF(AH$4&lt;=核心参数输入!$B$9,AH113+AH114,0)</f>
        <v>0</v>
      </c>
    </row>
  </sheetData>
  <mergeCells count="2">
    <mergeCell ref="A26:AH26"/>
    <mergeCell ref="A106:AH106"/>
  </mergeCells>
  <phoneticPr fontId="7" type="noConversion"/>
  <pageMargins left="0.25" right="0.25" top="0.4" bottom="0.4" header="0.3" footer="0.3"/>
  <pageSetup paperSize="9" scale="21" fitToHeight="0" orientation="landscape" r:id="rId1"/>
  <headerFooter>
    <oddFooter>&amp;L模拟数据 · 学习用途&amp;C&amp;P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AH106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48.75" style="11" customWidth="1"/>
    <col min="2" max="2" width="17.75" style="1" customWidth="1"/>
    <col min="3" max="3" width="12.75" style="11" customWidth="1"/>
    <col min="4" max="34" width="15.75" style="1" customWidth="1"/>
  </cols>
  <sheetData>
    <row r="2" spans="1:34" ht="29.1" customHeight="1">
      <c r="A2" s="2" t="s">
        <v>4</v>
      </c>
    </row>
    <row r="4" spans="1:34" ht="21" customHeight="1">
      <c r="A4" s="5" t="s">
        <v>162</v>
      </c>
      <c r="D4" s="5">
        <f>核心参数输入!D87</f>
        <v>0</v>
      </c>
      <c r="E4" s="5">
        <f>核心参数输入!E87</f>
        <v>1</v>
      </c>
      <c r="F4" s="5">
        <f>核心参数输入!F87</f>
        <v>2</v>
      </c>
      <c r="G4" s="5">
        <f>核心参数输入!G87</f>
        <v>3</v>
      </c>
      <c r="H4" s="5">
        <f>核心参数输入!H87</f>
        <v>4</v>
      </c>
      <c r="I4" s="5">
        <f>核心参数输入!I87</f>
        <v>5</v>
      </c>
      <c r="J4" s="5">
        <f>核心参数输入!J87</f>
        <v>6</v>
      </c>
      <c r="K4" s="5">
        <f>核心参数输入!K87</f>
        <v>7</v>
      </c>
      <c r="L4" s="5">
        <f>核心参数输入!L87</f>
        <v>8</v>
      </c>
      <c r="M4" s="5">
        <f>核心参数输入!M87</f>
        <v>9</v>
      </c>
      <c r="N4" s="5">
        <f>核心参数输入!N87</f>
        <v>10</v>
      </c>
      <c r="O4" s="5">
        <f>核心参数输入!O87</f>
        <v>11</v>
      </c>
      <c r="P4" s="5">
        <f>核心参数输入!P87</f>
        <v>12</v>
      </c>
      <c r="Q4" s="5">
        <f>核心参数输入!Q87</f>
        <v>13</v>
      </c>
      <c r="R4" s="5">
        <f>核心参数输入!R87</f>
        <v>14</v>
      </c>
      <c r="S4" s="5">
        <f>核心参数输入!S87</f>
        <v>15</v>
      </c>
      <c r="T4" s="5">
        <f>核心参数输入!T87</f>
        <v>16</v>
      </c>
      <c r="U4" s="5">
        <f>核心参数输入!U87</f>
        <v>17</v>
      </c>
      <c r="V4" s="5">
        <f>核心参数输入!V87</f>
        <v>18</v>
      </c>
      <c r="W4" s="5">
        <f>核心参数输入!W87</f>
        <v>19</v>
      </c>
      <c r="X4" s="5">
        <f>核心参数输入!X87</f>
        <v>20</v>
      </c>
      <c r="Y4" s="5">
        <f>核心参数输入!Y87</f>
        <v>21</v>
      </c>
      <c r="Z4" s="5">
        <f>核心参数输入!Z87</f>
        <v>22</v>
      </c>
      <c r="AA4" s="5">
        <f>核心参数输入!AA87</f>
        <v>23</v>
      </c>
      <c r="AB4" s="5">
        <f>核心参数输入!AB87</f>
        <v>24</v>
      </c>
      <c r="AC4" s="5">
        <f>核心参数输入!AC87</f>
        <v>25</v>
      </c>
      <c r="AD4" s="5">
        <f>核心参数输入!AD87</f>
        <v>26</v>
      </c>
      <c r="AE4" s="5">
        <f>核心参数输入!AE87</f>
        <v>27</v>
      </c>
      <c r="AF4" s="5">
        <f>核心参数输入!AF87</f>
        <v>28</v>
      </c>
      <c r="AG4" s="5">
        <f>核心参数输入!AG87</f>
        <v>29</v>
      </c>
      <c r="AH4" s="5">
        <f>核心参数输入!AH87</f>
        <v>30</v>
      </c>
    </row>
    <row r="5" spans="1:34" ht="21" customHeight="1">
      <c r="D5" s="12">
        <f>核心参数输入!$B$8+D4</f>
        <v>2026</v>
      </c>
      <c r="E5" s="12">
        <f>核心参数输入!$B$8+E4</f>
        <v>2027</v>
      </c>
      <c r="F5" s="12">
        <f>核心参数输入!$B$8+F4</f>
        <v>2028</v>
      </c>
      <c r="G5" s="12">
        <f>核心参数输入!$B$8+G4</f>
        <v>2029</v>
      </c>
      <c r="H5" s="12">
        <f>核心参数输入!$B$8+H4</f>
        <v>2030</v>
      </c>
      <c r="I5" s="12">
        <f>核心参数输入!$B$8+I4</f>
        <v>2031</v>
      </c>
      <c r="J5" s="12">
        <f>核心参数输入!$B$8+J4</f>
        <v>2032</v>
      </c>
      <c r="K5" s="12">
        <f>核心参数输入!$B$8+K4</f>
        <v>2033</v>
      </c>
      <c r="L5" s="12">
        <f>核心参数输入!$B$8+L4</f>
        <v>2034</v>
      </c>
      <c r="M5" s="12">
        <f>核心参数输入!$B$8+M4</f>
        <v>2035</v>
      </c>
      <c r="N5" s="12">
        <f>核心参数输入!$B$8+N4</f>
        <v>2036</v>
      </c>
      <c r="O5" s="12">
        <f>核心参数输入!$B$8+O4</f>
        <v>2037</v>
      </c>
      <c r="P5" s="12">
        <f>核心参数输入!$B$8+P4</f>
        <v>2038</v>
      </c>
      <c r="Q5" s="12">
        <f>核心参数输入!$B$8+Q4</f>
        <v>2039</v>
      </c>
      <c r="R5" s="12">
        <f>核心参数输入!$B$8+R4</f>
        <v>2040</v>
      </c>
      <c r="S5" s="12">
        <f>核心参数输入!$B$8+S4</f>
        <v>2041</v>
      </c>
      <c r="T5" s="12">
        <f>核心参数输入!$B$8+T4</f>
        <v>2042</v>
      </c>
      <c r="U5" s="12">
        <f>核心参数输入!$B$8+U4</f>
        <v>2043</v>
      </c>
      <c r="V5" s="12">
        <f>核心参数输入!$B$8+V4</f>
        <v>2044</v>
      </c>
      <c r="W5" s="12">
        <f>核心参数输入!$B$8+W4</f>
        <v>2045</v>
      </c>
      <c r="X5" s="12">
        <f>核心参数输入!$B$8+X4</f>
        <v>2046</v>
      </c>
      <c r="Y5" s="12">
        <f>核心参数输入!$B$8+Y4</f>
        <v>2047</v>
      </c>
      <c r="Z5" s="12">
        <f>核心参数输入!$B$8+Z4</f>
        <v>2048</v>
      </c>
      <c r="AA5" s="12">
        <f>核心参数输入!$B$8+AA4</f>
        <v>2049</v>
      </c>
      <c r="AB5" s="12">
        <f>核心参数输入!$B$8+AB4</f>
        <v>2050</v>
      </c>
      <c r="AC5" s="12">
        <f>核心参数输入!$B$8+AC4</f>
        <v>2051</v>
      </c>
      <c r="AD5" s="12">
        <f>核心参数输入!$B$8+AD4</f>
        <v>2052</v>
      </c>
      <c r="AE5" s="12">
        <f>核心参数输入!$B$8+AE4</f>
        <v>2053</v>
      </c>
      <c r="AF5" s="12">
        <f>核心参数输入!$B$8+AF4</f>
        <v>2054</v>
      </c>
      <c r="AG5" s="12">
        <f>核心参数输入!$B$8+AG4</f>
        <v>2055</v>
      </c>
      <c r="AH5" s="12">
        <f>核心参数输入!$B$8+AH4</f>
        <v>2056</v>
      </c>
    </row>
    <row r="7" spans="1:34" ht="24.95" customHeight="1">
      <c r="A7" s="15" t="s">
        <v>223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</row>
    <row r="10" spans="1:34" ht="21" customHeight="1">
      <c r="A10" s="11" t="s">
        <v>160</v>
      </c>
      <c r="B10" s="11" t="s">
        <v>30</v>
      </c>
      <c r="D10" s="10">
        <f>IF(D$4&lt;=核心参数输入!$B$9,建筑面积与开发计划!D21,0)</f>
        <v>0</v>
      </c>
      <c r="E10" s="10">
        <f>IF(E$4&lt;=核心参数输入!$B$9,建筑面积与开发计划!E21,0)</f>
        <v>0</v>
      </c>
      <c r="F10" s="10">
        <f>IF(F$4&lt;=核心参数输入!$B$9,建筑面积与开发计划!F21,0)</f>
        <v>0</v>
      </c>
      <c r="G10" s="10">
        <f>IF(G$4&lt;=核心参数输入!$B$9,建筑面积与开发计划!G21,0)</f>
        <v>0</v>
      </c>
      <c r="H10" s="10">
        <f>IF(H$4&lt;=核心参数输入!$B$9,建筑面积与开发计划!H21,0)</f>
        <v>0.3</v>
      </c>
      <c r="I10" s="10">
        <f>IF(I$4&lt;=核心参数输入!$B$9,建筑面积与开发计划!I21,0)</f>
        <v>0.4</v>
      </c>
      <c r="J10" s="10">
        <f>IF(J$4&lt;=核心参数输入!$B$9,建筑面积与开发计划!J21,0)</f>
        <v>0.3</v>
      </c>
      <c r="K10" s="10">
        <f>IF(K$4&lt;=核心参数输入!$B$9,建筑面积与开发计划!K21,0)</f>
        <v>0</v>
      </c>
      <c r="L10" s="10">
        <f>IF(L$4&lt;=核心参数输入!$B$9,建筑面积与开发计划!L21,0)</f>
        <v>0</v>
      </c>
      <c r="M10" s="10">
        <f>IF(M$4&lt;=核心参数输入!$B$9,建筑面积与开发计划!M21,0)</f>
        <v>0</v>
      </c>
      <c r="N10" s="10">
        <f>IF(N$4&lt;=核心参数输入!$B$9,建筑面积与开发计划!N21,0)</f>
        <v>0</v>
      </c>
      <c r="O10" s="10">
        <f>IF(O$4&lt;=核心参数输入!$B$9,建筑面积与开发计划!O21,0)</f>
        <v>0</v>
      </c>
      <c r="P10" s="10">
        <f>IF(P$4&lt;=核心参数输入!$B$9,建筑面积与开发计划!P21,0)</f>
        <v>0</v>
      </c>
      <c r="Q10" s="10">
        <f>IF(Q$4&lt;=核心参数输入!$B$9,建筑面积与开发计划!Q21,0)</f>
        <v>0</v>
      </c>
      <c r="R10" s="10">
        <f>IF(R$4&lt;=核心参数输入!$B$9,建筑面积与开发计划!R21,0)</f>
        <v>0</v>
      </c>
      <c r="S10" s="10">
        <f>IF(S$4&lt;=核心参数输入!$B$9,建筑面积与开发计划!S21,0)</f>
        <v>0</v>
      </c>
      <c r="T10" s="10">
        <f>IF(T$4&lt;=核心参数输入!$B$9,建筑面积与开发计划!T21,0)</f>
        <v>0</v>
      </c>
      <c r="U10" s="10">
        <f>IF(U$4&lt;=核心参数输入!$B$9,建筑面积与开发计划!U21,0)</f>
        <v>0</v>
      </c>
      <c r="V10" s="10">
        <f>IF(V$4&lt;=核心参数输入!$B$9,建筑面积与开发计划!V21,0)</f>
        <v>0</v>
      </c>
      <c r="W10" s="10">
        <f>IF(W$4&lt;=核心参数输入!$B$9,建筑面积与开发计划!W21,0)</f>
        <v>0</v>
      </c>
      <c r="X10" s="10">
        <f>IF(X$4&lt;=核心参数输入!$B$9,建筑面积与开发计划!X21,0)</f>
        <v>0</v>
      </c>
      <c r="Y10" s="10">
        <f>IF(Y$4&lt;=核心参数输入!$B$9,建筑面积与开发计划!Y21,0)</f>
        <v>0</v>
      </c>
      <c r="Z10" s="10">
        <f>IF(Z$4&lt;=核心参数输入!$B$9,建筑面积与开发计划!Z21,0)</f>
        <v>0</v>
      </c>
      <c r="AA10" s="10">
        <f>IF(AA$4&lt;=核心参数输入!$B$9,建筑面积与开发计划!AA21,0)</f>
        <v>0</v>
      </c>
      <c r="AB10" s="10">
        <f>IF(AB$4&lt;=核心参数输入!$B$9,建筑面积与开发计划!AB21,0)</f>
        <v>0</v>
      </c>
      <c r="AC10" s="10">
        <f>IF(AC$4&lt;=核心参数输入!$B$9,建筑面积与开发计划!AC21,0)</f>
        <v>0</v>
      </c>
      <c r="AD10" s="10">
        <f>IF(AD$4&lt;=核心参数输入!$B$9,建筑面积与开发计划!AD21,0)</f>
        <v>0</v>
      </c>
      <c r="AE10" s="10">
        <f>IF(AE$4&lt;=核心参数输入!$B$9,建筑面积与开发计划!AE21,0)</f>
        <v>0</v>
      </c>
      <c r="AF10" s="10">
        <f>IF(AF$4&lt;=核心参数输入!$B$9,建筑面积与开发计划!AF21,0)</f>
        <v>0</v>
      </c>
      <c r="AG10" s="10">
        <f>IF(AG$4&lt;=核心参数输入!$B$9,建筑面积与开发计划!AG21,0)</f>
        <v>0</v>
      </c>
      <c r="AH10" s="10">
        <f>IF(AH$4&lt;=核心参数输入!$B$9,建筑面积与开发计划!AH21,0)</f>
        <v>0</v>
      </c>
    </row>
    <row r="11" spans="1:34" ht="21" customHeight="1">
      <c r="A11" s="11" t="s">
        <v>224</v>
      </c>
      <c r="B11" s="11" t="s">
        <v>24</v>
      </c>
      <c r="D11" s="1">
        <f>IF(D$4&lt;=核心参数输入!$B$9,建筑面积与开发计划!D23,0)</f>
        <v>0</v>
      </c>
      <c r="E11" s="1">
        <f>IF(E$4&lt;=核心参数输入!$B$9,建筑面积与开发计划!E23,0)</f>
        <v>0</v>
      </c>
      <c r="F11" s="1">
        <f>IF(F$4&lt;=核心参数输入!$B$9,建筑面积与开发计划!F23,0)</f>
        <v>0</v>
      </c>
      <c r="G11" s="1">
        <f>IF(G$4&lt;=核心参数输入!$B$9,建筑面积与开发计划!G23,0)</f>
        <v>0</v>
      </c>
      <c r="H11" s="1">
        <f>IF(H$4&lt;=核心参数输入!$B$9,建筑面积与开发计划!H23,0)</f>
        <v>22275</v>
      </c>
      <c r="I11" s="1">
        <f>IF(I$4&lt;=核心参数输入!$B$9,建筑面积与开发计划!I23,0)</f>
        <v>29700</v>
      </c>
      <c r="J11" s="1">
        <f>IF(J$4&lt;=核心参数输入!$B$9,建筑面积与开发计划!J23,0)</f>
        <v>22275</v>
      </c>
      <c r="K11" s="1">
        <f>IF(K$4&lt;=核心参数输入!$B$9,建筑面积与开发计划!K23,0)</f>
        <v>0</v>
      </c>
      <c r="L11" s="1">
        <f>IF(L$4&lt;=核心参数输入!$B$9,建筑面积与开发计划!L23,0)</f>
        <v>0</v>
      </c>
      <c r="M11" s="1">
        <f>IF(M$4&lt;=核心参数输入!$B$9,建筑面积与开发计划!M23,0)</f>
        <v>0</v>
      </c>
      <c r="N11" s="1">
        <f>IF(N$4&lt;=核心参数输入!$B$9,建筑面积与开发计划!N23,0)</f>
        <v>0</v>
      </c>
      <c r="O11" s="1">
        <f>IF(O$4&lt;=核心参数输入!$B$9,建筑面积与开发计划!O23,0)</f>
        <v>0</v>
      </c>
      <c r="P11" s="1">
        <f>IF(P$4&lt;=核心参数输入!$B$9,建筑面积与开发计划!P23,0)</f>
        <v>0</v>
      </c>
      <c r="Q11" s="1">
        <f>IF(Q$4&lt;=核心参数输入!$B$9,建筑面积与开发计划!Q23,0)</f>
        <v>0</v>
      </c>
      <c r="R11" s="1">
        <f>IF(R$4&lt;=核心参数输入!$B$9,建筑面积与开发计划!R23,0)</f>
        <v>0</v>
      </c>
      <c r="S11" s="1">
        <f>IF(S$4&lt;=核心参数输入!$B$9,建筑面积与开发计划!S23,0)</f>
        <v>0</v>
      </c>
      <c r="T11" s="1">
        <f>IF(T$4&lt;=核心参数输入!$B$9,建筑面积与开发计划!T23,0)</f>
        <v>0</v>
      </c>
      <c r="U11" s="1">
        <f>IF(U$4&lt;=核心参数输入!$B$9,建筑面积与开发计划!U23,0)</f>
        <v>0</v>
      </c>
      <c r="V11" s="1">
        <f>IF(V$4&lt;=核心参数输入!$B$9,建筑面积与开发计划!V23,0)</f>
        <v>0</v>
      </c>
      <c r="W11" s="1">
        <f>IF(W$4&lt;=核心参数输入!$B$9,建筑面积与开发计划!W23,0)</f>
        <v>0</v>
      </c>
      <c r="X11" s="1">
        <f>IF(X$4&lt;=核心参数输入!$B$9,建筑面积与开发计划!X23,0)</f>
        <v>0</v>
      </c>
      <c r="Y11" s="1">
        <f>IF(Y$4&lt;=核心参数输入!$B$9,建筑面积与开发计划!Y23,0)</f>
        <v>0</v>
      </c>
      <c r="Z11" s="1">
        <f>IF(Z$4&lt;=核心参数输入!$B$9,建筑面积与开发计划!Z23,0)</f>
        <v>0</v>
      </c>
      <c r="AA11" s="1">
        <f>IF(AA$4&lt;=核心参数输入!$B$9,建筑面积与开发计划!AA23,0)</f>
        <v>0</v>
      </c>
      <c r="AB11" s="1">
        <f>IF(AB$4&lt;=核心参数输入!$B$9,建筑面积与开发计划!AB23,0)</f>
        <v>0</v>
      </c>
      <c r="AC11" s="1">
        <f>IF(AC$4&lt;=核心参数输入!$B$9,建筑面积与开发计划!AC23,0)</f>
        <v>0</v>
      </c>
      <c r="AD11" s="1">
        <f>IF(AD$4&lt;=核心参数输入!$B$9,建筑面积与开发计划!AD23,0)</f>
        <v>0</v>
      </c>
      <c r="AE11" s="1">
        <f>IF(AE$4&lt;=核心参数输入!$B$9,建筑面积与开发计划!AE23,0)</f>
        <v>0</v>
      </c>
      <c r="AF11" s="1">
        <f>IF(AF$4&lt;=核心参数输入!$B$9,建筑面积与开发计划!AF23,0)</f>
        <v>0</v>
      </c>
      <c r="AG11" s="1">
        <f>IF(AG$4&lt;=核心参数输入!$B$9,建筑面积与开发计划!AG23,0)</f>
        <v>0</v>
      </c>
      <c r="AH11" s="1">
        <f>IF(AH$4&lt;=核心参数输入!$B$9,建筑面积与开发计划!AH23,0)</f>
        <v>0</v>
      </c>
    </row>
    <row r="12" spans="1:34" ht="21" customHeight="1">
      <c r="A12" s="11" t="s">
        <v>225</v>
      </c>
      <c r="B12" s="11" t="s">
        <v>47</v>
      </c>
      <c r="D12" s="1">
        <f>IF(D$4&lt;=核心参数输入!$B$9,核心参数输入!$B$31,0)</f>
        <v>6500</v>
      </c>
      <c r="E12" s="1">
        <f>IF(E$4&lt;=核心参数输入!$B$9,核心参数输入!$B$31,0)</f>
        <v>6500</v>
      </c>
      <c r="F12" s="1">
        <f>IF(F$4&lt;=核心参数输入!$B$9,核心参数输入!$B$31,0)</f>
        <v>6500</v>
      </c>
      <c r="G12" s="1">
        <f>IF(G$4&lt;=核心参数输入!$B$9,核心参数输入!$B$31,0)</f>
        <v>6500</v>
      </c>
      <c r="H12" s="1">
        <f>IF(H$4&lt;=核心参数输入!$B$9,核心参数输入!$B$31,0)</f>
        <v>6500</v>
      </c>
      <c r="I12" s="1">
        <f>IF(I$4&lt;=核心参数输入!$B$9,核心参数输入!$B$31,0)</f>
        <v>6500</v>
      </c>
      <c r="J12" s="1">
        <f>IF(J$4&lt;=核心参数输入!$B$9,核心参数输入!$B$31,0)</f>
        <v>6500</v>
      </c>
      <c r="K12" s="1">
        <f>IF(K$4&lt;=核心参数输入!$B$9,核心参数输入!$B$31,0)</f>
        <v>6500</v>
      </c>
      <c r="L12" s="1">
        <f>IF(L$4&lt;=核心参数输入!$B$9,核心参数输入!$B$31,0)</f>
        <v>6500</v>
      </c>
      <c r="M12" s="1">
        <f>IF(M$4&lt;=核心参数输入!$B$9,核心参数输入!$B$31,0)</f>
        <v>6500</v>
      </c>
      <c r="N12" s="1">
        <f>IF(N$4&lt;=核心参数输入!$B$9,核心参数输入!$B$31,0)</f>
        <v>6500</v>
      </c>
      <c r="O12" s="1">
        <f>IF(O$4&lt;=核心参数输入!$B$9,核心参数输入!$B$31,0)</f>
        <v>6500</v>
      </c>
      <c r="P12" s="1">
        <f>IF(P$4&lt;=核心参数输入!$B$9,核心参数输入!$B$31,0)</f>
        <v>6500</v>
      </c>
      <c r="Q12" s="1">
        <f>IF(Q$4&lt;=核心参数输入!$B$9,核心参数输入!$B$31,0)</f>
        <v>6500</v>
      </c>
      <c r="R12" s="1">
        <f>IF(R$4&lt;=核心参数输入!$B$9,核心参数输入!$B$31,0)</f>
        <v>6500</v>
      </c>
      <c r="S12" s="1">
        <f>IF(S$4&lt;=核心参数输入!$B$9,核心参数输入!$B$31,0)</f>
        <v>6500</v>
      </c>
      <c r="T12" s="1">
        <f>IF(T$4&lt;=核心参数输入!$B$9,核心参数输入!$B$31,0)</f>
        <v>6500</v>
      </c>
      <c r="U12" s="1">
        <f>IF(U$4&lt;=核心参数输入!$B$9,核心参数输入!$B$31,0)</f>
        <v>6500</v>
      </c>
      <c r="V12" s="1">
        <f>IF(V$4&lt;=核心参数输入!$B$9,核心参数输入!$B$31,0)</f>
        <v>6500</v>
      </c>
      <c r="W12" s="1">
        <f>IF(W$4&lt;=核心参数输入!$B$9,核心参数输入!$B$31,0)</f>
        <v>6500</v>
      </c>
      <c r="X12" s="1">
        <f>IF(X$4&lt;=核心参数输入!$B$9,核心参数输入!$B$31,0)</f>
        <v>6500</v>
      </c>
      <c r="Y12" s="1">
        <f>IF(Y$4&lt;=核心参数输入!$B$9,核心参数输入!$B$31,0)</f>
        <v>0</v>
      </c>
      <c r="Z12" s="1">
        <f>IF(Z$4&lt;=核心参数输入!$B$9,核心参数输入!$B$31,0)</f>
        <v>0</v>
      </c>
      <c r="AA12" s="1">
        <f>IF(AA$4&lt;=核心参数输入!$B$9,核心参数输入!$B$31,0)</f>
        <v>0</v>
      </c>
      <c r="AB12" s="1">
        <f>IF(AB$4&lt;=核心参数输入!$B$9,核心参数输入!$B$31,0)</f>
        <v>0</v>
      </c>
      <c r="AC12" s="1">
        <f>IF(AC$4&lt;=核心参数输入!$B$9,核心参数输入!$B$31,0)</f>
        <v>0</v>
      </c>
      <c r="AD12" s="1">
        <f>IF(AD$4&lt;=核心参数输入!$B$9,核心参数输入!$B$31,0)</f>
        <v>0</v>
      </c>
      <c r="AE12" s="1">
        <f>IF(AE$4&lt;=核心参数输入!$B$9,核心参数输入!$B$31,0)</f>
        <v>0</v>
      </c>
      <c r="AF12" s="1">
        <f>IF(AF$4&lt;=核心参数输入!$B$9,核心参数输入!$B$31,0)</f>
        <v>0</v>
      </c>
      <c r="AG12" s="1">
        <f>IF(AG$4&lt;=核心参数输入!$B$9,核心参数输入!$B$31,0)</f>
        <v>0</v>
      </c>
      <c r="AH12" s="1">
        <f>IF(AH$4&lt;=核心参数输入!$B$9,核心参数输入!$B$31,0)</f>
        <v>0</v>
      </c>
    </row>
    <row r="13" spans="1:34" ht="21" customHeight="1">
      <c r="A13" s="11" t="s">
        <v>226</v>
      </c>
      <c r="B13" s="11" t="s">
        <v>54</v>
      </c>
      <c r="D13" s="1">
        <f>IF(D$4&lt;=核心参数输入!$B$9,D11*D12/10000,0)</f>
        <v>0</v>
      </c>
      <c r="E13" s="1">
        <f>IF(E$4&lt;=核心参数输入!$B$9,E11*E12/10000,0)</f>
        <v>0</v>
      </c>
      <c r="F13" s="1">
        <f>IF(F$4&lt;=核心参数输入!$B$9,F11*F12/10000,0)</f>
        <v>0</v>
      </c>
      <c r="G13" s="1">
        <f>IF(G$4&lt;=核心参数输入!$B$9,G11*G12/10000,0)</f>
        <v>0</v>
      </c>
      <c r="H13" s="1">
        <f>IF(H$4&lt;=核心参数输入!$B$9,H11*H12/10000,0)</f>
        <v>14478.75</v>
      </c>
      <c r="I13" s="1">
        <f>IF(I$4&lt;=核心参数输入!$B$9,I11*I12/10000,0)</f>
        <v>19305</v>
      </c>
      <c r="J13" s="1">
        <f>IF(J$4&lt;=核心参数输入!$B$9,J11*J12/10000,0)</f>
        <v>14478.75</v>
      </c>
      <c r="K13" s="1">
        <f>IF(K$4&lt;=核心参数输入!$B$9,K11*K12/10000,0)</f>
        <v>0</v>
      </c>
      <c r="L13" s="1">
        <f>IF(L$4&lt;=核心参数输入!$B$9,L11*L12/10000,0)</f>
        <v>0</v>
      </c>
      <c r="M13" s="1">
        <f>IF(M$4&lt;=核心参数输入!$B$9,M11*M12/10000,0)</f>
        <v>0</v>
      </c>
      <c r="N13" s="1">
        <f>IF(N$4&lt;=核心参数输入!$B$9,N11*N12/10000,0)</f>
        <v>0</v>
      </c>
      <c r="O13" s="1">
        <f>IF(O$4&lt;=核心参数输入!$B$9,O11*O12/10000,0)</f>
        <v>0</v>
      </c>
      <c r="P13" s="1">
        <f>IF(P$4&lt;=核心参数输入!$B$9,P11*P12/10000,0)</f>
        <v>0</v>
      </c>
      <c r="Q13" s="1">
        <f>IF(Q$4&lt;=核心参数输入!$B$9,Q11*Q12/10000,0)</f>
        <v>0</v>
      </c>
      <c r="R13" s="1">
        <f>IF(R$4&lt;=核心参数输入!$B$9,R11*R12/10000,0)</f>
        <v>0</v>
      </c>
      <c r="S13" s="1">
        <f>IF(S$4&lt;=核心参数输入!$B$9,S11*S12/10000,0)</f>
        <v>0</v>
      </c>
      <c r="T13" s="1">
        <f>IF(T$4&lt;=核心参数输入!$B$9,T11*T12/10000,0)</f>
        <v>0</v>
      </c>
      <c r="U13" s="1">
        <f>IF(U$4&lt;=核心参数输入!$B$9,U11*U12/10000,0)</f>
        <v>0</v>
      </c>
      <c r="V13" s="1">
        <f>IF(V$4&lt;=核心参数输入!$B$9,V11*V12/10000,0)</f>
        <v>0</v>
      </c>
      <c r="W13" s="1">
        <f>IF(W$4&lt;=核心参数输入!$B$9,W11*W12/10000,0)</f>
        <v>0</v>
      </c>
      <c r="X13" s="1">
        <f>IF(X$4&lt;=核心参数输入!$B$9,X11*X12/10000,0)</f>
        <v>0</v>
      </c>
      <c r="Y13" s="1">
        <f>IF(Y$4&lt;=核心参数输入!$B$9,Y11*Y12/10000,0)</f>
        <v>0</v>
      </c>
      <c r="Z13" s="1">
        <f>IF(Z$4&lt;=核心参数输入!$B$9,Z11*Z12/10000,0)</f>
        <v>0</v>
      </c>
      <c r="AA13" s="1">
        <f>IF(AA$4&lt;=核心参数输入!$B$9,AA11*AA12/10000,0)</f>
        <v>0</v>
      </c>
      <c r="AB13" s="1">
        <f>IF(AB$4&lt;=核心参数输入!$B$9,AB11*AB12/10000,0)</f>
        <v>0</v>
      </c>
      <c r="AC13" s="1">
        <f>IF(AC$4&lt;=核心参数输入!$B$9,AC11*AC12/10000,0)</f>
        <v>0</v>
      </c>
      <c r="AD13" s="1">
        <f>IF(AD$4&lt;=核心参数输入!$B$9,AD11*AD12/10000,0)</f>
        <v>0</v>
      </c>
      <c r="AE13" s="1">
        <f>IF(AE$4&lt;=核心参数输入!$B$9,AE11*AE12/10000,0)</f>
        <v>0</v>
      </c>
      <c r="AF13" s="1">
        <f>IF(AF$4&lt;=核心参数输入!$B$9,AF11*AF12/10000,0)</f>
        <v>0</v>
      </c>
      <c r="AG13" s="1">
        <f>IF(AG$4&lt;=核心参数输入!$B$9,AG11*AG12/10000,0)</f>
        <v>0</v>
      </c>
      <c r="AH13" s="1">
        <f>IF(AH$4&lt;=核心参数输入!$B$9,AH11*AH12/10000,0)</f>
        <v>0</v>
      </c>
    </row>
    <row r="14" spans="1:34" ht="21" customHeight="1">
      <c r="A14" s="11" t="s">
        <v>174</v>
      </c>
      <c r="B14" s="11" t="s">
        <v>30</v>
      </c>
      <c r="D14" s="10">
        <f>IF(D$4&lt;=核心参数输入!$B$9,建筑面积与开发计划!D26,0)</f>
        <v>0</v>
      </c>
      <c r="E14" s="10">
        <f>IF(E$4&lt;=核心参数输入!$B$9,建筑面积与开发计划!E26,0)</f>
        <v>0</v>
      </c>
      <c r="F14" s="10">
        <f>IF(F$4&lt;=核心参数输入!$B$9,建筑面积与开发计划!F26,0)</f>
        <v>0</v>
      </c>
      <c r="G14" s="10">
        <f>IF(G$4&lt;=核心参数输入!$B$9,建筑面积与开发计划!G26,0)</f>
        <v>0</v>
      </c>
      <c r="H14" s="10">
        <f>IF(H$4&lt;=核心参数输入!$B$9,建筑面积与开发计划!H26,0)</f>
        <v>0.5</v>
      </c>
      <c r="I14" s="10">
        <f>IF(I$4&lt;=核心参数输入!$B$9,建筑面积与开发计划!I26,0)</f>
        <v>0.7</v>
      </c>
      <c r="J14" s="10">
        <f>IF(J$4&lt;=核心参数输入!$B$9,建筑面积与开发计划!J26,0)</f>
        <v>0.85</v>
      </c>
      <c r="K14" s="10">
        <f>IF(K$4&lt;=核心参数输入!$B$9,建筑面积与开发计划!K26,0)</f>
        <v>0.9</v>
      </c>
      <c r="L14" s="10">
        <f>IF(L$4&lt;=核心参数输入!$B$9,建筑面积与开发计划!L26,0)</f>
        <v>0.9</v>
      </c>
      <c r="M14" s="10">
        <f>IF(M$4&lt;=核心参数输入!$B$9,建筑面积与开发计划!M26,0)</f>
        <v>0.9</v>
      </c>
      <c r="N14" s="10">
        <f>IF(N$4&lt;=核心参数输入!$B$9,建筑面积与开发计划!N26,0)</f>
        <v>0.9</v>
      </c>
      <c r="O14" s="10">
        <f>IF(O$4&lt;=核心参数输入!$B$9,建筑面积与开发计划!O26,0)</f>
        <v>0.9</v>
      </c>
      <c r="P14" s="10">
        <f>IF(P$4&lt;=核心参数输入!$B$9,建筑面积与开发计划!P26,0)</f>
        <v>0.9</v>
      </c>
      <c r="Q14" s="10">
        <f>IF(Q$4&lt;=核心参数输入!$B$9,建筑面积与开发计划!Q26,0)</f>
        <v>0.9</v>
      </c>
      <c r="R14" s="10">
        <f>IF(R$4&lt;=核心参数输入!$B$9,建筑面积与开发计划!R26,0)</f>
        <v>0.9</v>
      </c>
      <c r="S14" s="10">
        <f>IF(S$4&lt;=核心参数输入!$B$9,建筑面积与开发计划!S26,0)</f>
        <v>0.9</v>
      </c>
      <c r="T14" s="10">
        <f>IF(T$4&lt;=核心参数输入!$B$9,建筑面积与开发计划!T26,0)</f>
        <v>0.9</v>
      </c>
      <c r="U14" s="10">
        <f>IF(U$4&lt;=核心参数输入!$B$9,建筑面积与开发计划!U26,0)</f>
        <v>0.9</v>
      </c>
      <c r="V14" s="10">
        <f>IF(V$4&lt;=核心参数输入!$B$9,建筑面积与开发计划!V26,0)</f>
        <v>0.9</v>
      </c>
      <c r="W14" s="10">
        <f>IF(W$4&lt;=核心参数输入!$B$9,建筑面积与开发计划!W26,0)</f>
        <v>0.9</v>
      </c>
      <c r="X14" s="10">
        <f>IF(X$4&lt;=核心参数输入!$B$9,建筑面积与开发计划!X26,0)</f>
        <v>0.9</v>
      </c>
      <c r="Y14" s="10">
        <f>IF(Y$4&lt;=核心参数输入!$B$9,建筑面积与开发计划!Y26,0)</f>
        <v>0</v>
      </c>
      <c r="Z14" s="10">
        <f>IF(Z$4&lt;=核心参数输入!$B$9,建筑面积与开发计划!Z26,0)</f>
        <v>0</v>
      </c>
      <c r="AA14" s="10">
        <f>IF(AA$4&lt;=核心参数输入!$B$9,建筑面积与开发计划!AA26,0)</f>
        <v>0</v>
      </c>
      <c r="AB14" s="10">
        <f>IF(AB$4&lt;=核心参数输入!$B$9,建筑面积与开发计划!AB26,0)</f>
        <v>0</v>
      </c>
      <c r="AC14" s="10">
        <f>IF(AC$4&lt;=核心参数输入!$B$9,建筑面积与开发计划!AC26,0)</f>
        <v>0</v>
      </c>
      <c r="AD14" s="10">
        <f>IF(AD$4&lt;=核心参数输入!$B$9,建筑面积与开发计划!AD26,0)</f>
        <v>0</v>
      </c>
      <c r="AE14" s="10">
        <f>IF(AE$4&lt;=核心参数输入!$B$9,建筑面积与开发计划!AE26,0)</f>
        <v>0</v>
      </c>
      <c r="AF14" s="10">
        <f>IF(AF$4&lt;=核心参数输入!$B$9,建筑面积与开发计划!AF26,0)</f>
        <v>0</v>
      </c>
      <c r="AG14" s="10">
        <f>IF(AG$4&lt;=核心参数输入!$B$9,建筑面积与开发计划!AG26,0)</f>
        <v>0</v>
      </c>
      <c r="AH14" s="10">
        <f>IF(AH$4&lt;=核心参数输入!$B$9,建筑面积与开发计划!AH26,0)</f>
        <v>0</v>
      </c>
    </row>
    <row r="15" spans="1:34" ht="21" customHeight="1">
      <c r="A15" s="11" t="s">
        <v>175</v>
      </c>
      <c r="B15" s="11" t="s">
        <v>24</v>
      </c>
      <c r="D15" s="1">
        <f>IF(D$4&lt;=核心参数输入!$B$9,建筑面积与开发计划!D27,0)</f>
        <v>0</v>
      </c>
      <c r="E15" s="1">
        <f>IF(E$4&lt;=核心参数输入!$B$9,建筑面积与开发计划!E27,0)</f>
        <v>0</v>
      </c>
      <c r="F15" s="1">
        <f>IF(F$4&lt;=核心参数输入!$B$9,建筑面积与开发计划!F27,0)</f>
        <v>0</v>
      </c>
      <c r="G15" s="1">
        <f>IF(G$4&lt;=核心参数输入!$B$9,建筑面积与开发计划!G27,0)</f>
        <v>0</v>
      </c>
      <c r="H15" s="1">
        <f>IF(H$4&lt;=核心参数输入!$B$9,建筑面积与开发计划!H27,0)</f>
        <v>30374.999999999996</v>
      </c>
      <c r="I15" s="1">
        <f>IF(I$4&lt;=核心参数输入!$B$9,建筑面积与开发计划!I27,0)</f>
        <v>42524.999999999993</v>
      </c>
      <c r="J15" s="1">
        <f>IF(J$4&lt;=核心参数输入!$B$9,建筑面积与开发计划!J27,0)</f>
        <v>51637.499999999993</v>
      </c>
      <c r="K15" s="1">
        <f>IF(K$4&lt;=核心参数输入!$B$9,建筑面积与开发计划!K27,0)</f>
        <v>54674.999999999993</v>
      </c>
      <c r="L15" s="1">
        <f>IF(L$4&lt;=核心参数输入!$B$9,建筑面积与开发计划!L27,0)</f>
        <v>54674.999999999993</v>
      </c>
      <c r="M15" s="1">
        <f>IF(M$4&lt;=核心参数输入!$B$9,建筑面积与开发计划!M27,0)</f>
        <v>54674.999999999993</v>
      </c>
      <c r="N15" s="1">
        <f>IF(N$4&lt;=核心参数输入!$B$9,建筑面积与开发计划!N27,0)</f>
        <v>54674.999999999993</v>
      </c>
      <c r="O15" s="1">
        <f>IF(O$4&lt;=核心参数输入!$B$9,建筑面积与开发计划!O27,0)</f>
        <v>54674.999999999993</v>
      </c>
      <c r="P15" s="1">
        <f>IF(P$4&lt;=核心参数输入!$B$9,建筑面积与开发计划!P27,0)</f>
        <v>54674.999999999993</v>
      </c>
      <c r="Q15" s="1">
        <f>IF(Q$4&lt;=核心参数输入!$B$9,建筑面积与开发计划!Q27,0)</f>
        <v>54674.999999999993</v>
      </c>
      <c r="R15" s="1">
        <f>IF(R$4&lt;=核心参数输入!$B$9,建筑面积与开发计划!R27,0)</f>
        <v>54674.999999999993</v>
      </c>
      <c r="S15" s="1">
        <f>IF(S$4&lt;=核心参数输入!$B$9,建筑面积与开发计划!S27,0)</f>
        <v>54674.999999999993</v>
      </c>
      <c r="T15" s="1">
        <f>IF(T$4&lt;=核心参数输入!$B$9,建筑面积与开发计划!T27,0)</f>
        <v>54674.999999999993</v>
      </c>
      <c r="U15" s="1">
        <f>IF(U$4&lt;=核心参数输入!$B$9,建筑面积与开发计划!U27,0)</f>
        <v>54674.999999999993</v>
      </c>
      <c r="V15" s="1">
        <f>IF(V$4&lt;=核心参数输入!$B$9,建筑面积与开发计划!V27,0)</f>
        <v>54674.999999999993</v>
      </c>
      <c r="W15" s="1">
        <f>IF(W$4&lt;=核心参数输入!$B$9,建筑面积与开发计划!W27,0)</f>
        <v>54674.999999999993</v>
      </c>
      <c r="X15" s="1">
        <f>IF(X$4&lt;=核心参数输入!$B$9,建筑面积与开发计划!X27,0)</f>
        <v>54674.999999999993</v>
      </c>
      <c r="Y15" s="1">
        <f>IF(Y$4&lt;=核心参数输入!$B$9,建筑面积与开发计划!Y27,0)</f>
        <v>0</v>
      </c>
      <c r="Z15" s="1">
        <f>IF(Z$4&lt;=核心参数输入!$B$9,建筑面积与开发计划!Z27,0)</f>
        <v>0</v>
      </c>
      <c r="AA15" s="1">
        <f>IF(AA$4&lt;=核心参数输入!$B$9,建筑面积与开发计划!AA27,0)</f>
        <v>0</v>
      </c>
      <c r="AB15" s="1">
        <f>IF(AB$4&lt;=核心参数输入!$B$9,建筑面积与开发计划!AB27,0)</f>
        <v>0</v>
      </c>
      <c r="AC15" s="1">
        <f>IF(AC$4&lt;=核心参数输入!$B$9,建筑面积与开发计划!AC27,0)</f>
        <v>0</v>
      </c>
      <c r="AD15" s="1">
        <f>IF(AD$4&lt;=核心参数输入!$B$9,建筑面积与开发计划!AD27,0)</f>
        <v>0</v>
      </c>
      <c r="AE15" s="1">
        <f>IF(AE$4&lt;=核心参数输入!$B$9,建筑面积与开发计划!AE27,0)</f>
        <v>0</v>
      </c>
      <c r="AF15" s="1">
        <f>IF(AF$4&lt;=核心参数输入!$B$9,建筑面积与开发计划!AF27,0)</f>
        <v>0</v>
      </c>
      <c r="AG15" s="1">
        <f>IF(AG$4&lt;=核心参数输入!$B$9,建筑面积与开发计划!AG27,0)</f>
        <v>0</v>
      </c>
      <c r="AH15" s="1">
        <f>IF(AH$4&lt;=核心参数输入!$B$9,建筑面积与开发计划!AH27,0)</f>
        <v>0</v>
      </c>
    </row>
    <row r="16" spans="1:34" ht="21" customHeight="1">
      <c r="A16" s="11" t="s">
        <v>176</v>
      </c>
      <c r="B16" s="11" t="s">
        <v>24</v>
      </c>
      <c r="D16" s="1">
        <f>IF(D$4&lt;=核心参数输入!$B$9,建筑面积与开发计划!D28,0)</f>
        <v>0</v>
      </c>
      <c r="E16" s="1">
        <f>IF(E$4&lt;=核心参数输入!$B$9,建筑面积与开发计划!E28,0)</f>
        <v>0</v>
      </c>
      <c r="F16" s="1">
        <f>IF(F$4&lt;=核心参数输入!$B$9,建筑面积与开发计划!F28,0)</f>
        <v>0</v>
      </c>
      <c r="G16" s="1">
        <f>IF(G$4&lt;=核心参数输入!$B$9,建筑面积与开发计划!G28,0)</f>
        <v>0</v>
      </c>
      <c r="H16" s="1">
        <f>IF(H$4&lt;=核心参数输入!$B$9,建筑面积与开发计划!H28,0)</f>
        <v>30374.999999999996</v>
      </c>
      <c r="I16" s="1">
        <f>IF(I$4&lt;=核心参数输入!$B$9,建筑面积与开发计划!I28,0)</f>
        <v>12149.999999999996</v>
      </c>
      <c r="J16" s="1">
        <f>IF(J$4&lt;=核心参数输入!$B$9,建筑面积与开发计划!J28,0)</f>
        <v>9112.5</v>
      </c>
      <c r="K16" s="1">
        <f>IF(K$4&lt;=核心参数输入!$B$9,建筑面积与开发计划!K28,0)</f>
        <v>3037.5</v>
      </c>
      <c r="L16" s="1">
        <f>IF(L$4&lt;=核心参数输入!$B$9,建筑面积与开发计划!L28,0)</f>
        <v>0</v>
      </c>
      <c r="M16" s="1">
        <f>IF(M$4&lt;=核心参数输入!$B$9,建筑面积与开发计划!M28,0)</f>
        <v>0</v>
      </c>
      <c r="N16" s="1">
        <f>IF(N$4&lt;=核心参数输入!$B$9,建筑面积与开发计划!N28,0)</f>
        <v>0</v>
      </c>
      <c r="O16" s="1">
        <f>IF(O$4&lt;=核心参数输入!$B$9,建筑面积与开发计划!O28,0)</f>
        <v>0</v>
      </c>
      <c r="P16" s="1">
        <f>IF(P$4&lt;=核心参数输入!$B$9,建筑面积与开发计划!P28,0)</f>
        <v>0</v>
      </c>
      <c r="Q16" s="1">
        <f>IF(Q$4&lt;=核心参数输入!$B$9,建筑面积与开发计划!Q28,0)</f>
        <v>0</v>
      </c>
      <c r="R16" s="1">
        <f>IF(R$4&lt;=核心参数输入!$B$9,建筑面积与开发计划!R28,0)</f>
        <v>0</v>
      </c>
      <c r="S16" s="1">
        <f>IF(S$4&lt;=核心参数输入!$B$9,建筑面积与开发计划!S28,0)</f>
        <v>0</v>
      </c>
      <c r="T16" s="1">
        <f>IF(T$4&lt;=核心参数输入!$B$9,建筑面积与开发计划!T28,0)</f>
        <v>0</v>
      </c>
      <c r="U16" s="1">
        <f>IF(U$4&lt;=核心参数输入!$B$9,建筑面积与开发计划!U28,0)</f>
        <v>0</v>
      </c>
      <c r="V16" s="1">
        <f>IF(V$4&lt;=核心参数输入!$B$9,建筑面积与开发计划!V28,0)</f>
        <v>0</v>
      </c>
      <c r="W16" s="1">
        <f>IF(W$4&lt;=核心参数输入!$B$9,建筑面积与开发计划!W28,0)</f>
        <v>0</v>
      </c>
      <c r="X16" s="1">
        <f>IF(X$4&lt;=核心参数输入!$B$9,建筑面积与开发计划!X28,0)</f>
        <v>0</v>
      </c>
      <c r="Y16" s="1">
        <f>IF(Y$4&lt;=核心参数输入!$B$9,建筑面积与开发计划!Y28,0)</f>
        <v>0</v>
      </c>
      <c r="Z16" s="1">
        <f>IF(Z$4&lt;=核心参数输入!$B$9,建筑面积与开发计划!Z28,0)</f>
        <v>0</v>
      </c>
      <c r="AA16" s="1">
        <f>IF(AA$4&lt;=核心参数输入!$B$9,建筑面积与开发计划!AA28,0)</f>
        <v>0</v>
      </c>
      <c r="AB16" s="1">
        <f>IF(AB$4&lt;=核心参数输入!$B$9,建筑面积与开发计划!AB28,0)</f>
        <v>0</v>
      </c>
      <c r="AC16" s="1">
        <f>IF(AC$4&lt;=核心参数输入!$B$9,建筑面积与开发计划!AC28,0)</f>
        <v>0</v>
      </c>
      <c r="AD16" s="1">
        <f>IF(AD$4&lt;=核心参数输入!$B$9,建筑面积与开发计划!AD28,0)</f>
        <v>0</v>
      </c>
      <c r="AE16" s="1">
        <f>IF(AE$4&lt;=核心参数输入!$B$9,建筑面积与开发计划!AE28,0)</f>
        <v>0</v>
      </c>
      <c r="AF16" s="1">
        <f>IF(AF$4&lt;=核心参数输入!$B$9,建筑面积与开发计划!AF28,0)</f>
        <v>0</v>
      </c>
      <c r="AG16" s="1">
        <f>IF(AG$4&lt;=核心参数输入!$B$9,建筑面积与开发计划!AG28,0)</f>
        <v>0</v>
      </c>
      <c r="AH16" s="1">
        <f>IF(AH$4&lt;=核心参数输入!$B$9,建筑面积与开发计划!AH28,0)</f>
        <v>0</v>
      </c>
    </row>
    <row r="17" spans="1:34" ht="21" customHeight="1">
      <c r="A17" s="11" t="s">
        <v>173</v>
      </c>
      <c r="B17" s="11" t="s">
        <v>19</v>
      </c>
      <c r="D17" s="1">
        <f>IF(D$4&lt;=核心参数输入!$B$9,建筑面积与开发计划!D25,0)</f>
        <v>0</v>
      </c>
      <c r="E17" s="1">
        <f>IF(E$4&lt;=核心参数输入!$B$9,建筑面积与开发计划!E25,0)</f>
        <v>0</v>
      </c>
      <c r="F17" s="1">
        <f>IF(F$4&lt;=核心参数输入!$B$9,建筑面积与开发计划!F25,0)</f>
        <v>0</v>
      </c>
      <c r="G17" s="1">
        <f>IF(G$4&lt;=核心参数输入!$B$9,建筑面积与开发计划!G25,0)</f>
        <v>0</v>
      </c>
      <c r="H17" s="1">
        <f>IF(H$4&lt;=核心参数输入!$B$9,建筑面积与开发计划!H25,0)</f>
        <v>1</v>
      </c>
      <c r="I17" s="1">
        <f>IF(I$4&lt;=核心参数输入!$B$9,建筑面积与开发计划!I25,0)</f>
        <v>2</v>
      </c>
      <c r="J17" s="1">
        <f>IF(J$4&lt;=核心参数输入!$B$9,建筑面积与开发计划!J25,0)</f>
        <v>3</v>
      </c>
      <c r="K17" s="1">
        <f>IF(K$4&lt;=核心参数输入!$B$9,建筑面积与开发计划!K25,0)</f>
        <v>4</v>
      </c>
      <c r="L17" s="1">
        <f>IF(L$4&lt;=核心参数输入!$B$9,建筑面积与开发计划!L25,0)</f>
        <v>5</v>
      </c>
      <c r="M17" s="1">
        <f>IF(M$4&lt;=核心参数输入!$B$9,建筑面积与开发计划!M25,0)</f>
        <v>6</v>
      </c>
      <c r="N17" s="1">
        <f>IF(N$4&lt;=核心参数输入!$B$9,建筑面积与开发计划!N25,0)</f>
        <v>7</v>
      </c>
      <c r="O17" s="1">
        <f>IF(O$4&lt;=核心参数输入!$B$9,建筑面积与开发计划!O25,0)</f>
        <v>8</v>
      </c>
      <c r="P17" s="1">
        <f>IF(P$4&lt;=核心参数输入!$B$9,建筑面积与开发计划!P25,0)</f>
        <v>9</v>
      </c>
      <c r="Q17" s="1">
        <f>IF(Q$4&lt;=核心参数输入!$B$9,建筑面积与开发计划!Q25,0)</f>
        <v>10</v>
      </c>
      <c r="R17" s="1">
        <f>IF(R$4&lt;=核心参数输入!$B$9,建筑面积与开发计划!R25,0)</f>
        <v>11</v>
      </c>
      <c r="S17" s="1">
        <f>IF(S$4&lt;=核心参数输入!$B$9,建筑面积与开发计划!S25,0)</f>
        <v>12</v>
      </c>
      <c r="T17" s="1">
        <f>IF(T$4&lt;=核心参数输入!$B$9,建筑面积与开发计划!T25,0)</f>
        <v>13</v>
      </c>
      <c r="U17" s="1">
        <f>IF(U$4&lt;=核心参数输入!$B$9,建筑面积与开发计划!U25,0)</f>
        <v>14</v>
      </c>
      <c r="V17" s="1">
        <f>IF(V$4&lt;=核心参数输入!$B$9,建筑面积与开发计划!V25,0)</f>
        <v>15</v>
      </c>
      <c r="W17" s="1">
        <f>IF(W$4&lt;=核心参数输入!$B$9,建筑面积与开发计划!W25,0)</f>
        <v>16</v>
      </c>
      <c r="X17" s="1">
        <f>IF(X$4&lt;=核心参数输入!$B$9,建筑面积与开发计划!X25,0)</f>
        <v>17</v>
      </c>
      <c r="Y17" s="1">
        <f>IF(Y$4&lt;=核心参数输入!$B$9,建筑面积与开发计划!Y25,0)</f>
        <v>0</v>
      </c>
      <c r="Z17" s="1">
        <f>IF(Z$4&lt;=核心参数输入!$B$9,建筑面积与开发计划!Z25,0)</f>
        <v>0</v>
      </c>
      <c r="AA17" s="1">
        <f>IF(AA$4&lt;=核心参数输入!$B$9,建筑面积与开发计划!AA25,0)</f>
        <v>0</v>
      </c>
      <c r="AB17" s="1">
        <f>IF(AB$4&lt;=核心参数输入!$B$9,建筑面积与开发计划!AB25,0)</f>
        <v>0</v>
      </c>
      <c r="AC17" s="1">
        <f>IF(AC$4&lt;=核心参数输入!$B$9,建筑面积与开发计划!AC25,0)</f>
        <v>0</v>
      </c>
      <c r="AD17" s="1">
        <f>IF(AD$4&lt;=核心参数输入!$B$9,建筑面积与开发计划!AD25,0)</f>
        <v>0</v>
      </c>
      <c r="AE17" s="1">
        <f>IF(AE$4&lt;=核心参数输入!$B$9,建筑面积与开发计划!AE25,0)</f>
        <v>0</v>
      </c>
      <c r="AF17" s="1">
        <f>IF(AF$4&lt;=核心参数输入!$B$9,建筑面积与开发计划!AF25,0)</f>
        <v>0</v>
      </c>
      <c r="AG17" s="1">
        <f>IF(AG$4&lt;=核心参数输入!$B$9,建筑面积与开发计划!AG25,0)</f>
        <v>0</v>
      </c>
      <c r="AH17" s="1">
        <f>IF(AH$4&lt;=核心参数输入!$B$9,建筑面积与开发计划!AH25,0)</f>
        <v>0</v>
      </c>
    </row>
    <row r="18" spans="1:34" ht="21" customHeight="1">
      <c r="A18" s="11" t="s">
        <v>227</v>
      </c>
      <c r="B18" s="11" t="s">
        <v>73</v>
      </c>
      <c r="D18" s="1">
        <f>IF(D$4&lt;=核心参数输入!$B$9,IF(D17&gt;0,核心参数输入!$B$36*(1+核心参数输入!$B$37)^MAX(0,D17-1),0),0)</f>
        <v>0</v>
      </c>
      <c r="E18" s="1">
        <f>IF(E$4&lt;=核心参数输入!$B$9,IF(E17&gt;0,核心参数输入!$B$36*(1+核心参数输入!$B$37)^MAX(0,E17-1),0),0)</f>
        <v>0</v>
      </c>
      <c r="F18" s="1">
        <f>IF(F$4&lt;=核心参数输入!$B$9,IF(F17&gt;0,核心参数输入!$B$36*(1+核心参数输入!$B$37)^MAX(0,F17-1),0),0)</f>
        <v>0</v>
      </c>
      <c r="G18" s="1">
        <f>IF(G$4&lt;=核心参数输入!$B$9,IF(G17&gt;0,核心参数输入!$B$36*(1+核心参数输入!$B$37)^MAX(0,G17-1),0),0)</f>
        <v>0</v>
      </c>
      <c r="H18" s="1">
        <f>IF(H$4&lt;=核心参数输入!$B$9,IF(H17&gt;0,核心参数输入!$B$36*(1+核心参数输入!$B$37)^MAX(0,H17-1),0),0)</f>
        <v>26</v>
      </c>
      <c r="I18" s="1">
        <f>IF(I$4&lt;=核心参数输入!$B$9,IF(I17&gt;0,核心参数输入!$B$36*(1+核心参数输入!$B$37)^MAX(0,I17-1),0),0)</f>
        <v>26.389999999999997</v>
      </c>
      <c r="J18" s="1">
        <f>IF(J$4&lt;=核心参数输入!$B$9,IF(J17&gt;0,核心参数输入!$B$36*(1+核心参数输入!$B$37)^MAX(0,J17-1),0),0)</f>
        <v>26.785849999999993</v>
      </c>
      <c r="K18" s="1">
        <f>IF(K$4&lt;=核心参数输入!$B$9,IF(K17&gt;0,核心参数输入!$B$36*(1+核心参数输入!$B$37)^MAX(0,K17-1),0),0)</f>
        <v>27.18763774999999</v>
      </c>
      <c r="L18" s="1">
        <f>IF(L$4&lt;=核心参数输入!$B$9,IF(L17&gt;0,核心参数输入!$B$36*(1+核心参数输入!$B$37)^MAX(0,L17-1),0),0)</f>
        <v>27.595452316249986</v>
      </c>
      <c r="M18" s="1">
        <f>IF(M$4&lt;=核心参数输入!$B$9,IF(M17&gt;0,核心参数输入!$B$36*(1+核心参数输入!$B$37)^MAX(0,M17-1),0),0)</f>
        <v>28.009384100993731</v>
      </c>
      <c r="N18" s="1">
        <f>IF(N$4&lt;=核心参数输入!$B$9,IF(N17&gt;0,核心参数输入!$B$36*(1+核心参数输入!$B$37)^MAX(0,N17-1),0),0)</f>
        <v>28.429524862508632</v>
      </c>
      <c r="O18" s="1">
        <f>IF(O$4&lt;=核心参数输入!$B$9,IF(O17&gt;0,核心参数输入!$B$36*(1+核心参数输入!$B$37)^MAX(0,O17-1),0),0)</f>
        <v>28.855967735446256</v>
      </c>
      <c r="P18" s="1">
        <f>IF(P$4&lt;=核心参数输入!$B$9,IF(P17&gt;0,核心参数输入!$B$36*(1+核心参数输入!$B$37)^MAX(0,P17-1),0),0)</f>
        <v>29.288807251477948</v>
      </c>
      <c r="Q18" s="1">
        <f>IF(Q$4&lt;=核心参数输入!$B$9,IF(Q17&gt;0,核心参数输入!$B$36*(1+核心参数输入!$B$37)^MAX(0,Q17-1),0),0)</f>
        <v>29.728139360250115</v>
      </c>
      <c r="R18" s="1">
        <f>IF(R$4&lt;=核心参数输入!$B$9,IF(R17&gt;0,核心参数输入!$B$36*(1+核心参数输入!$B$37)^MAX(0,R17-1),0),0)</f>
        <v>30.174061450653863</v>
      </c>
      <c r="S18" s="1">
        <f>IF(S$4&lt;=核心参数输入!$B$9,IF(S17&gt;0,核心参数输入!$B$36*(1+核心参数输入!$B$37)^MAX(0,S17-1),0),0)</f>
        <v>30.626672372413665</v>
      </c>
      <c r="T18" s="1">
        <f>IF(T$4&lt;=核心参数输入!$B$9,IF(T17&gt;0,核心参数输入!$B$36*(1+核心参数输入!$B$37)^MAX(0,T17-1),0),0)</f>
        <v>31.086072457999865</v>
      </c>
      <c r="U18" s="1">
        <f>IF(U$4&lt;=核心参数输入!$B$9,IF(U17&gt;0,核心参数输入!$B$36*(1+核心参数输入!$B$37)^MAX(0,U17-1),0),0)</f>
        <v>31.552363544869863</v>
      </c>
      <c r="V18" s="1">
        <f>IF(V$4&lt;=核心参数输入!$B$9,IF(V17&gt;0,核心参数输入!$B$36*(1+核心参数输入!$B$37)^MAX(0,V17-1),0),0)</f>
        <v>32.025648998042904</v>
      </c>
      <c r="W18" s="1">
        <f>IF(W$4&lt;=核心参数输入!$B$9,IF(W17&gt;0,核心参数输入!$B$36*(1+核心参数输入!$B$37)^MAX(0,W17-1),0),0)</f>
        <v>32.506033733013538</v>
      </c>
      <c r="X18" s="1">
        <f>IF(X$4&lt;=核心参数输入!$B$9,IF(X17&gt;0,核心参数输入!$B$36*(1+核心参数输入!$B$37)^MAX(0,X17-1),0),0)</f>
        <v>32.993624239008739</v>
      </c>
      <c r="Y18" s="1">
        <f>IF(Y$4&lt;=核心参数输入!$B$9,IF(Y17&gt;0,核心参数输入!$B$36*(1+核心参数输入!$B$37)^MAX(0,Y17-1),0),0)</f>
        <v>0</v>
      </c>
      <c r="Z18" s="1">
        <f>IF(Z$4&lt;=核心参数输入!$B$9,IF(Z17&gt;0,核心参数输入!$B$36*(1+核心参数输入!$B$37)^MAX(0,Z17-1),0),0)</f>
        <v>0</v>
      </c>
      <c r="AA18" s="1">
        <f>IF(AA$4&lt;=核心参数输入!$B$9,IF(AA17&gt;0,核心参数输入!$B$36*(1+核心参数输入!$B$37)^MAX(0,AA17-1),0),0)</f>
        <v>0</v>
      </c>
      <c r="AB18" s="1">
        <f>IF(AB$4&lt;=核心参数输入!$B$9,IF(AB17&gt;0,核心参数输入!$B$36*(1+核心参数输入!$B$37)^MAX(0,AB17-1),0),0)</f>
        <v>0</v>
      </c>
      <c r="AC18" s="1">
        <f>IF(AC$4&lt;=核心参数输入!$B$9,IF(AC17&gt;0,核心参数输入!$B$36*(1+核心参数输入!$B$37)^MAX(0,AC17-1),0),0)</f>
        <v>0</v>
      </c>
      <c r="AD18" s="1">
        <f>IF(AD$4&lt;=核心参数输入!$B$9,IF(AD17&gt;0,核心参数输入!$B$36*(1+核心参数输入!$B$37)^MAX(0,AD17-1),0),0)</f>
        <v>0</v>
      </c>
      <c r="AE18" s="1">
        <f>IF(AE$4&lt;=核心参数输入!$B$9,IF(AE17&gt;0,核心参数输入!$B$36*(1+核心参数输入!$B$37)^MAX(0,AE17-1),0),0)</f>
        <v>0</v>
      </c>
      <c r="AF18" s="1">
        <f>IF(AF$4&lt;=核心参数输入!$B$9,IF(AF17&gt;0,核心参数输入!$B$36*(1+核心参数输入!$B$37)^MAX(0,AF17-1),0),0)</f>
        <v>0</v>
      </c>
      <c r="AG18" s="1">
        <f>IF(AG$4&lt;=核心参数输入!$B$9,IF(AG17&gt;0,核心参数输入!$B$36*(1+核心参数输入!$B$37)^MAX(0,AG17-1),0),0)</f>
        <v>0</v>
      </c>
      <c r="AH18" s="1">
        <f>IF(AH$4&lt;=核心参数输入!$B$9,IF(AH17&gt;0,核心参数输入!$B$36*(1+核心参数输入!$B$37)^MAX(0,AH17-1),0),0)</f>
        <v>0</v>
      </c>
    </row>
    <row r="19" spans="1:34" ht="21" customHeight="1">
      <c r="A19" s="11" t="s">
        <v>228</v>
      </c>
      <c r="B19" s="11" t="s">
        <v>54</v>
      </c>
      <c r="D19" s="1">
        <f>IF(D$4&lt;=核心参数输入!$B$9,D16*D18*核心参数输入!$B$42/10000,0)</f>
        <v>0</v>
      </c>
      <c r="E19" s="1">
        <f>IF(E$4&lt;=核心参数输入!$B$9,E16*E18*核心参数输入!$B$42/10000,0)</f>
        <v>0</v>
      </c>
      <c r="F19" s="1">
        <f>IF(F$4&lt;=核心参数输入!$B$9,F16*F18*核心参数输入!$B$42/10000,0)</f>
        <v>0</v>
      </c>
      <c r="G19" s="1">
        <f>IF(G$4&lt;=核心参数输入!$B$9,G16*G18*核心参数输入!$B$42/10000,0)</f>
        <v>0</v>
      </c>
      <c r="H19" s="1">
        <f>IF(H$4&lt;=核心参数输入!$B$9,H16*H18*核心参数输入!$B$42/10000,0)</f>
        <v>236.92499999999995</v>
      </c>
      <c r="I19" s="1">
        <f>IF(I$4&lt;=核心参数输入!$B$9,I16*I18*核心参数输入!$B$42/10000,0)</f>
        <v>96.191549999999964</v>
      </c>
      <c r="J19" s="1">
        <f>IF(J$4&lt;=核心参数输入!$B$9,J16*J18*核心参数输入!$B$42/10000,0)</f>
        <v>73.22581743749997</v>
      </c>
      <c r="K19" s="1">
        <f>IF(K$4&lt;=核心参数输入!$B$9,K16*K18*核心参数输入!$B$42/10000,0)</f>
        <v>24.774734899687491</v>
      </c>
      <c r="L19" s="1">
        <f>IF(L$4&lt;=核心参数输入!$B$9,L16*L18*核心参数输入!$B$42/10000,0)</f>
        <v>0</v>
      </c>
      <c r="M19" s="1">
        <f>IF(M$4&lt;=核心参数输入!$B$9,M16*M18*核心参数输入!$B$42/10000,0)</f>
        <v>0</v>
      </c>
      <c r="N19" s="1">
        <f>IF(N$4&lt;=核心参数输入!$B$9,N16*N18*核心参数输入!$B$42/10000,0)</f>
        <v>0</v>
      </c>
      <c r="O19" s="1">
        <f>IF(O$4&lt;=核心参数输入!$B$9,O16*O18*核心参数输入!$B$42/10000,0)</f>
        <v>0</v>
      </c>
      <c r="P19" s="1">
        <f>IF(P$4&lt;=核心参数输入!$B$9,P16*P18*核心参数输入!$B$42/10000,0)</f>
        <v>0</v>
      </c>
      <c r="Q19" s="1">
        <f>IF(Q$4&lt;=核心参数输入!$B$9,Q16*Q18*核心参数输入!$B$42/10000,0)</f>
        <v>0</v>
      </c>
      <c r="R19" s="1">
        <f>IF(R$4&lt;=核心参数输入!$B$9,R16*R18*核心参数输入!$B$42/10000,0)</f>
        <v>0</v>
      </c>
      <c r="S19" s="1">
        <f>IF(S$4&lt;=核心参数输入!$B$9,S16*S18*核心参数输入!$B$42/10000,0)</f>
        <v>0</v>
      </c>
      <c r="T19" s="1">
        <f>IF(T$4&lt;=核心参数输入!$B$9,T16*T18*核心参数输入!$B$42/10000,0)</f>
        <v>0</v>
      </c>
      <c r="U19" s="1">
        <f>IF(U$4&lt;=核心参数输入!$B$9,U16*U18*核心参数输入!$B$42/10000,0)</f>
        <v>0</v>
      </c>
      <c r="V19" s="1">
        <f>IF(V$4&lt;=核心参数输入!$B$9,V16*V18*核心参数输入!$B$42/10000,0)</f>
        <v>0</v>
      </c>
      <c r="W19" s="1">
        <f>IF(W$4&lt;=核心参数输入!$B$9,W16*W18*核心参数输入!$B$42/10000,0)</f>
        <v>0</v>
      </c>
      <c r="X19" s="1">
        <f>IF(X$4&lt;=核心参数输入!$B$9,X16*X18*核心参数输入!$B$42/10000,0)</f>
        <v>0</v>
      </c>
      <c r="Y19" s="1">
        <f>IF(Y$4&lt;=核心参数输入!$B$9,Y16*Y18*核心参数输入!$B$42/10000,0)</f>
        <v>0</v>
      </c>
      <c r="Z19" s="1">
        <f>IF(Z$4&lt;=核心参数输入!$B$9,Z16*Z18*核心参数输入!$B$42/10000,0)</f>
        <v>0</v>
      </c>
      <c r="AA19" s="1">
        <f>IF(AA$4&lt;=核心参数输入!$B$9,AA16*AA18*核心参数输入!$B$42/10000,0)</f>
        <v>0</v>
      </c>
      <c r="AB19" s="1">
        <f>IF(AB$4&lt;=核心参数输入!$B$9,AB16*AB18*核心参数输入!$B$42/10000,0)</f>
        <v>0</v>
      </c>
      <c r="AC19" s="1">
        <f>IF(AC$4&lt;=核心参数输入!$B$9,AC16*AC18*核心参数输入!$B$42/10000,0)</f>
        <v>0</v>
      </c>
      <c r="AD19" s="1">
        <f>IF(AD$4&lt;=核心参数输入!$B$9,AD16*AD18*核心参数输入!$B$42/10000,0)</f>
        <v>0</v>
      </c>
      <c r="AE19" s="1">
        <f>IF(AE$4&lt;=核心参数输入!$B$9,AE16*AE18*核心参数输入!$B$42/10000,0)</f>
        <v>0</v>
      </c>
      <c r="AF19" s="1">
        <f>IF(AF$4&lt;=核心参数输入!$B$9,AF16*AF18*核心参数输入!$B$42/10000,0)</f>
        <v>0</v>
      </c>
      <c r="AG19" s="1">
        <f>IF(AG$4&lt;=核心参数输入!$B$9,AG16*AG18*核心参数输入!$B$42/10000,0)</f>
        <v>0</v>
      </c>
      <c r="AH19" s="1">
        <f>IF(AH$4&lt;=核心参数输入!$B$9,AH16*AH18*核心参数输入!$B$42/10000,0)</f>
        <v>0</v>
      </c>
    </row>
    <row r="20" spans="1:34" ht="21" customHeight="1">
      <c r="A20" s="11" t="s">
        <v>229</v>
      </c>
      <c r="B20" s="11" t="s">
        <v>54</v>
      </c>
      <c r="D20" s="1">
        <f>IF(D$4&lt;=核心参数输入!$B$9,(D15*D18*12/10000-D19)*核心参数输入!$B$43,0)</f>
        <v>0</v>
      </c>
      <c r="E20" s="1">
        <f>IF(E$4&lt;=核心参数输入!$B$9,(E15*E18*12/10000-E19)*核心参数输入!$B$43,0)</f>
        <v>0</v>
      </c>
      <c r="F20" s="1">
        <f>IF(F$4&lt;=核心参数输入!$B$9,(F15*F18*12/10000-F19)*核心参数输入!$B$43,0)</f>
        <v>0</v>
      </c>
      <c r="G20" s="1">
        <f>IF(G$4&lt;=核心参数输入!$B$9,(G15*G18*12/10000-G19)*核心参数输入!$B$43,0)</f>
        <v>0</v>
      </c>
      <c r="H20" s="1">
        <f>IF(H$4&lt;=核心参数输入!$B$9,(H15*H18*12/10000-H19)*核心参数输入!$B$43,0)</f>
        <v>696.55949999999984</v>
      </c>
      <c r="I20" s="1">
        <f>IF(I$4&lt;=核心参数输入!$B$9,(I15*I18*12/10000-I19)*核心参数输入!$B$43,0)</f>
        <v>1225.4803469999997</v>
      </c>
      <c r="J20" s="1">
        <f>IF(J$4&lt;=核心参数输入!$B$9,(J15*J18*12/10000-J19)*核心参数输入!$B$43,0)</f>
        <v>1554.8281902562494</v>
      </c>
      <c r="K20" s="1">
        <f>IF(K$4&lt;=核心参数输入!$B$9,(K15*K18*12/10000-K19)*核心参数输入!$B$43,0)</f>
        <v>1723.8260543202553</v>
      </c>
      <c r="L20" s="1">
        <f>IF(L$4&lt;=核心参数输入!$B$9,(L15*L18*12/10000-L19)*核心参数输入!$B$43,0)</f>
        <v>1774.3268739397781</v>
      </c>
      <c r="M20" s="1">
        <f>IF(M$4&lt;=核心参数输入!$B$9,(M15*M18*12/10000-M19)*核心参数输入!$B$43,0)</f>
        <v>1800.9417770488744</v>
      </c>
      <c r="N20" s="1">
        <f>IF(N$4&lt;=核心参数输入!$B$9,(N15*N18*12/10000-N19)*核心参数输入!$B$43,0)</f>
        <v>1827.9559037046074</v>
      </c>
      <c r="O20" s="1">
        <f>IF(O$4&lt;=核心参数输入!$B$9,(O15*O18*12/10000-O19)*核心参数输入!$B$43,0)</f>
        <v>1855.3752422601763</v>
      </c>
      <c r="P20" s="1">
        <f>IF(P$4&lt;=核心参数输入!$B$9,(P15*P18*12/10000-P19)*核心参数输入!$B$43,0)</f>
        <v>1883.2058708940785</v>
      </c>
      <c r="Q20" s="1">
        <f>IF(Q$4&lt;=核心参数输入!$B$9,(Q15*Q18*12/10000-Q19)*核心参数输入!$B$43,0)</f>
        <v>1911.4539589574895</v>
      </c>
      <c r="R20" s="1">
        <f>IF(R$4&lt;=核心参数输入!$B$9,(R15*R18*12/10000-R19)*核心参数输入!$B$43,0)</f>
        <v>1940.1257683418517</v>
      </c>
      <c r="S20" s="1">
        <f>IF(S$4&lt;=核心参数输入!$B$9,(S15*S18*12/10000-S19)*核心参数输入!$B$43,0)</f>
        <v>1969.227654866979</v>
      </c>
      <c r="T20" s="1">
        <f>IF(T$4&lt;=核心参数输入!$B$9,(T15*T18*12/10000-T19)*核心参数输入!$B$43,0)</f>
        <v>1998.7660696899832</v>
      </c>
      <c r="U20" s="1">
        <f>IF(U$4&lt;=核心参数输入!$B$9,(U15*U18*12/10000-U19)*核心参数输入!$B$43,0)</f>
        <v>2028.7475607353331</v>
      </c>
      <c r="V20" s="1">
        <f>IF(V$4&lt;=核心参数输入!$B$9,(V15*V18*12/10000-V19)*核心参数输入!$B$43,0)</f>
        <v>2059.1787741463627</v>
      </c>
      <c r="W20" s="1">
        <f>IF(W$4&lt;=核心参数输入!$B$9,(W15*W18*12/10000-W19)*核心参数输入!$B$43,0)</f>
        <v>2090.0664557585574</v>
      </c>
      <c r="X20" s="1">
        <f>IF(X$4&lt;=核心参数输入!$B$9,(X15*X18*12/10000-X19)*核心参数输入!$B$43,0)</f>
        <v>2121.4174525949356</v>
      </c>
      <c r="Y20" s="1">
        <f>IF(Y$4&lt;=核心参数输入!$B$9,(Y15*Y18*12/10000-Y19)*核心参数输入!$B$43,0)</f>
        <v>0</v>
      </c>
      <c r="Z20" s="1">
        <f>IF(Z$4&lt;=核心参数输入!$B$9,(Z15*Z18*12/10000-Z19)*核心参数输入!$B$43,0)</f>
        <v>0</v>
      </c>
      <c r="AA20" s="1">
        <f>IF(AA$4&lt;=核心参数输入!$B$9,(AA15*AA18*12/10000-AA19)*核心参数输入!$B$43,0)</f>
        <v>0</v>
      </c>
      <c r="AB20" s="1">
        <f>IF(AB$4&lt;=核心参数输入!$B$9,(AB15*AB18*12/10000-AB19)*核心参数输入!$B$43,0)</f>
        <v>0</v>
      </c>
      <c r="AC20" s="1">
        <f>IF(AC$4&lt;=核心参数输入!$B$9,(AC15*AC18*12/10000-AC19)*核心参数输入!$B$43,0)</f>
        <v>0</v>
      </c>
      <c r="AD20" s="1">
        <f>IF(AD$4&lt;=核心参数输入!$B$9,(AD15*AD18*12/10000-AD19)*核心参数输入!$B$43,0)</f>
        <v>0</v>
      </c>
      <c r="AE20" s="1">
        <f>IF(AE$4&lt;=核心参数输入!$B$9,(AE15*AE18*12/10000-AE19)*核心参数输入!$B$43,0)</f>
        <v>0</v>
      </c>
      <c r="AF20" s="1">
        <f>IF(AF$4&lt;=核心参数输入!$B$9,(AF15*AF18*12/10000-AF19)*核心参数输入!$B$43,0)</f>
        <v>0</v>
      </c>
      <c r="AG20" s="1">
        <f>IF(AG$4&lt;=核心参数输入!$B$9,(AG15*AG18*12/10000-AG19)*核心参数输入!$B$43,0)</f>
        <v>0</v>
      </c>
      <c r="AH20" s="1">
        <f>IF(AH$4&lt;=核心参数输入!$B$9,(AH15*AH18*12/10000-AH19)*核心参数输入!$B$43,0)</f>
        <v>0</v>
      </c>
    </row>
    <row r="21" spans="1:34" ht="21" customHeight="1">
      <c r="A21" s="11" t="s">
        <v>230</v>
      </c>
      <c r="B21" s="11" t="s">
        <v>54</v>
      </c>
      <c r="D21" s="1">
        <f>IF(D$4&lt;=核心参数输入!$B$9,D20*核心参数输入!$B$44,0)</f>
        <v>0</v>
      </c>
      <c r="E21" s="1">
        <f>IF(E$4&lt;=核心参数输入!$B$9,E20*核心参数输入!$B$44,0)</f>
        <v>0</v>
      </c>
      <c r="F21" s="1">
        <f>IF(F$4&lt;=核心参数输入!$B$9,F20*核心参数输入!$B$44,0)</f>
        <v>0</v>
      </c>
      <c r="G21" s="1">
        <f>IF(G$4&lt;=核心参数输入!$B$9,G20*核心参数输入!$B$44,0)</f>
        <v>0</v>
      </c>
      <c r="H21" s="1">
        <f>IF(H$4&lt;=核心参数输入!$B$9,H20*核心参数输入!$B$44,0)</f>
        <v>34.827974999999995</v>
      </c>
      <c r="I21" s="1">
        <f>IF(I$4&lt;=核心参数输入!$B$9,I20*核心参数输入!$B$44,0)</f>
        <v>61.274017349999987</v>
      </c>
      <c r="J21" s="1">
        <f>IF(J$4&lt;=核心参数输入!$B$9,J20*核心参数输入!$B$44,0)</f>
        <v>77.741409512812481</v>
      </c>
      <c r="K21" s="1">
        <f>IF(K$4&lt;=核心参数输入!$B$9,K20*核心参数输入!$B$44,0)</f>
        <v>86.191302716012771</v>
      </c>
      <c r="L21" s="1">
        <f>IF(L$4&lt;=核心参数输入!$B$9,L20*核心参数输入!$B$44,0)</f>
        <v>88.716343696988915</v>
      </c>
      <c r="M21" s="1">
        <f>IF(M$4&lt;=核心参数输入!$B$9,M20*核心参数输入!$B$44,0)</f>
        <v>90.047088852443721</v>
      </c>
      <c r="N21" s="1">
        <f>IF(N$4&lt;=核心参数输入!$B$9,N20*核心参数输入!$B$44,0)</f>
        <v>91.397795185230379</v>
      </c>
      <c r="O21" s="1">
        <f>IF(O$4&lt;=核心参数输入!$B$9,O20*核心参数输入!$B$44,0)</f>
        <v>92.768762113008819</v>
      </c>
      <c r="P21" s="1">
        <f>IF(P$4&lt;=核心参数输入!$B$9,P20*核心参数输入!$B$44,0)</f>
        <v>94.160293544703933</v>
      </c>
      <c r="Q21" s="1">
        <f>IF(Q$4&lt;=核心参数输入!$B$9,Q20*核心参数输入!$B$44,0)</f>
        <v>95.572697947874474</v>
      </c>
      <c r="R21" s="1">
        <f>IF(R$4&lt;=核心参数输入!$B$9,R20*核心参数输入!$B$44,0)</f>
        <v>97.006288417092591</v>
      </c>
      <c r="S21" s="1">
        <f>IF(S$4&lt;=核心参数输入!$B$9,S20*核心参数输入!$B$44,0)</f>
        <v>98.461382743348963</v>
      </c>
      <c r="T21" s="1">
        <f>IF(T$4&lt;=核心参数输入!$B$9,T20*核心参数输入!$B$44,0)</f>
        <v>99.938303484499158</v>
      </c>
      <c r="U21" s="1">
        <f>IF(U$4&lt;=核心参数输入!$B$9,U20*核心参数输入!$B$44,0)</f>
        <v>101.43737803676666</v>
      </c>
      <c r="V21" s="1">
        <f>IF(V$4&lt;=核心参数输入!$B$9,V20*核心参数输入!$B$44,0)</f>
        <v>102.95893870731814</v>
      </c>
      <c r="W21" s="1">
        <f>IF(W$4&lt;=核心参数输入!$B$9,W20*核心参数输入!$B$44,0)</f>
        <v>104.50332278792787</v>
      </c>
      <c r="X21" s="1">
        <f>IF(X$4&lt;=核心参数输入!$B$9,X20*核心参数输入!$B$44,0)</f>
        <v>106.07087262974679</v>
      </c>
      <c r="Y21" s="1">
        <f>IF(Y$4&lt;=核心参数输入!$B$9,Y20*核心参数输入!$B$44,0)</f>
        <v>0</v>
      </c>
      <c r="Z21" s="1">
        <f>IF(Z$4&lt;=核心参数输入!$B$9,Z20*核心参数输入!$B$44,0)</f>
        <v>0</v>
      </c>
      <c r="AA21" s="1">
        <f>IF(AA$4&lt;=核心参数输入!$B$9,AA20*核心参数输入!$B$44,0)</f>
        <v>0</v>
      </c>
      <c r="AB21" s="1">
        <f>IF(AB$4&lt;=核心参数输入!$B$9,AB20*核心参数输入!$B$44,0)</f>
        <v>0</v>
      </c>
      <c r="AC21" s="1">
        <f>IF(AC$4&lt;=核心参数输入!$B$9,AC20*核心参数输入!$B$44,0)</f>
        <v>0</v>
      </c>
      <c r="AD21" s="1">
        <f>IF(AD$4&lt;=核心参数输入!$B$9,AD20*核心参数输入!$B$44,0)</f>
        <v>0</v>
      </c>
      <c r="AE21" s="1">
        <f>IF(AE$4&lt;=核心参数输入!$B$9,AE20*核心参数输入!$B$44,0)</f>
        <v>0</v>
      </c>
      <c r="AF21" s="1">
        <f>IF(AF$4&lt;=核心参数输入!$B$9,AF20*核心参数输入!$B$44,0)</f>
        <v>0</v>
      </c>
      <c r="AG21" s="1">
        <f>IF(AG$4&lt;=核心参数输入!$B$9,AG20*核心参数输入!$B$44,0)</f>
        <v>0</v>
      </c>
      <c r="AH21" s="1">
        <f>IF(AH$4&lt;=核心参数输入!$B$9,AH20*核心参数输入!$B$44,0)</f>
        <v>0</v>
      </c>
    </row>
    <row r="22" spans="1:34" ht="21" customHeight="1">
      <c r="A22" s="11" t="s">
        <v>231</v>
      </c>
      <c r="B22" s="11" t="s">
        <v>54</v>
      </c>
      <c r="D22" s="1">
        <f>IF(D$4&lt;=核心参数输入!$B$9,SUM(D20:D21),0)</f>
        <v>0</v>
      </c>
      <c r="E22" s="1">
        <f>IF(E$4&lt;=核心参数输入!$B$9,SUM(E20:E21),0)</f>
        <v>0</v>
      </c>
      <c r="F22" s="1">
        <f>IF(F$4&lt;=核心参数输入!$B$9,SUM(F20:F21),0)</f>
        <v>0</v>
      </c>
      <c r="G22" s="1">
        <f>IF(G$4&lt;=核心参数输入!$B$9,SUM(G20:G21),0)</f>
        <v>0</v>
      </c>
      <c r="H22" s="1">
        <f>IF(H$4&lt;=核心参数输入!$B$9,SUM(H20:H21),0)</f>
        <v>731.38747499999988</v>
      </c>
      <c r="I22" s="1">
        <f>IF(I$4&lt;=核心参数输入!$B$9,SUM(I20:I21),0)</f>
        <v>1286.7543643499996</v>
      </c>
      <c r="J22" s="1">
        <f>IF(J$4&lt;=核心参数输入!$B$9,SUM(J20:J21),0)</f>
        <v>1632.5695997690618</v>
      </c>
      <c r="K22" s="1">
        <f>IF(K$4&lt;=核心参数输入!$B$9,SUM(K20:K21),0)</f>
        <v>1810.0173570362681</v>
      </c>
      <c r="L22" s="1">
        <f>IF(L$4&lt;=核心参数输入!$B$9,SUM(L20:L21),0)</f>
        <v>1863.0432176367669</v>
      </c>
      <c r="M22" s="1">
        <f>IF(M$4&lt;=核心参数输入!$B$9,SUM(M20:M21),0)</f>
        <v>1890.9888659013181</v>
      </c>
      <c r="N22" s="1">
        <f>IF(N$4&lt;=核心参数输入!$B$9,SUM(N20:N21),0)</f>
        <v>1919.3536988898377</v>
      </c>
      <c r="O22" s="1">
        <f>IF(O$4&lt;=核心参数输入!$B$9,SUM(O20:O21),0)</f>
        <v>1948.144004373185</v>
      </c>
      <c r="P22" s="1">
        <f>IF(P$4&lt;=核心参数输入!$B$9,SUM(P20:P21),0)</f>
        <v>1977.3661644387826</v>
      </c>
      <c r="Q22" s="1">
        <f>IF(Q$4&lt;=核心参数输入!$B$9,SUM(Q20:Q21),0)</f>
        <v>2007.026656905364</v>
      </c>
      <c r="R22" s="1">
        <f>IF(R$4&lt;=核心参数输入!$B$9,SUM(R20:R21),0)</f>
        <v>2037.1320567589441</v>
      </c>
      <c r="S22" s="1">
        <f>IF(S$4&lt;=核心参数输入!$B$9,SUM(S20:S21),0)</f>
        <v>2067.6890376103279</v>
      </c>
      <c r="T22" s="1">
        <f>IF(T$4&lt;=核心参数输入!$B$9,SUM(T20:T21),0)</f>
        <v>2098.7043731744825</v>
      </c>
      <c r="U22" s="1">
        <f>IF(U$4&lt;=核心参数输入!$B$9,SUM(U20:U21),0)</f>
        <v>2130.1849387720999</v>
      </c>
      <c r="V22" s="1">
        <f>IF(V$4&lt;=核心参数输入!$B$9,SUM(V20:V21),0)</f>
        <v>2162.137712853681</v>
      </c>
      <c r="W22" s="1">
        <f>IF(W$4&lt;=核心参数输入!$B$9,SUM(W20:W21),0)</f>
        <v>2194.5697785464854</v>
      </c>
      <c r="X22" s="1">
        <f>IF(X$4&lt;=核心参数输入!$B$9,SUM(X20:X21),0)</f>
        <v>2227.4883252246823</v>
      </c>
      <c r="Y22" s="1">
        <f>IF(Y$4&lt;=核心参数输入!$B$9,SUM(Y20:Y21),0)</f>
        <v>0</v>
      </c>
      <c r="Z22" s="1">
        <f>IF(Z$4&lt;=核心参数输入!$B$9,SUM(Z20:Z21),0)</f>
        <v>0</v>
      </c>
      <c r="AA22" s="1">
        <f>IF(AA$4&lt;=核心参数输入!$B$9,SUM(AA20:AA21),0)</f>
        <v>0</v>
      </c>
      <c r="AB22" s="1">
        <f>IF(AB$4&lt;=核心参数输入!$B$9,SUM(AB20:AB21),0)</f>
        <v>0</v>
      </c>
      <c r="AC22" s="1">
        <f>IF(AC$4&lt;=核心参数输入!$B$9,SUM(AC20:AC21),0)</f>
        <v>0</v>
      </c>
      <c r="AD22" s="1">
        <f>IF(AD$4&lt;=核心参数输入!$B$9,SUM(AD20:AD21),0)</f>
        <v>0</v>
      </c>
      <c r="AE22" s="1">
        <f>IF(AE$4&lt;=核心参数输入!$B$9,SUM(AE20:AE21),0)</f>
        <v>0</v>
      </c>
      <c r="AF22" s="1">
        <f>IF(AF$4&lt;=核心参数输入!$B$9,SUM(AF20:AF21),0)</f>
        <v>0</v>
      </c>
      <c r="AG22" s="1">
        <f>IF(AG$4&lt;=核心参数输入!$B$9,SUM(AG20:AG21),0)</f>
        <v>0</v>
      </c>
      <c r="AH22" s="1">
        <f>IF(AH$4&lt;=核心参数输入!$B$9,SUM(AH20:AH21),0)</f>
        <v>0</v>
      </c>
    </row>
    <row r="23" spans="1:34" ht="21" customHeight="1">
      <c r="A23" s="11" t="s">
        <v>232</v>
      </c>
      <c r="B23" s="11" t="s">
        <v>54</v>
      </c>
      <c r="D23" s="1">
        <f>IF(D$4&lt;=核心参数输入!$B$9,D13+D22,0)</f>
        <v>0</v>
      </c>
      <c r="E23" s="1">
        <f>IF(E$4&lt;=核心参数输入!$B$9,E13+E22,0)</f>
        <v>0</v>
      </c>
      <c r="F23" s="1">
        <f>IF(F$4&lt;=核心参数输入!$B$9,F13+F22,0)</f>
        <v>0</v>
      </c>
      <c r="G23" s="1">
        <f>IF(G$4&lt;=核心参数输入!$B$9,G13+G22,0)</f>
        <v>0</v>
      </c>
      <c r="H23" s="1">
        <f>IF(H$4&lt;=核心参数输入!$B$9,H13+H22,0)</f>
        <v>15210.137475</v>
      </c>
      <c r="I23" s="1">
        <f>IF(I$4&lt;=核心参数输入!$B$9,I13+I22,0)</f>
        <v>20591.754364349999</v>
      </c>
      <c r="J23" s="1">
        <f>IF(J$4&lt;=核心参数输入!$B$9,J13+J22,0)</f>
        <v>16111.319599769062</v>
      </c>
      <c r="K23" s="1">
        <f>IF(K$4&lt;=核心参数输入!$B$9,K13+K22,0)</f>
        <v>1810.0173570362681</v>
      </c>
      <c r="L23" s="1">
        <f>IF(L$4&lt;=核心参数输入!$B$9,L13+L22,0)</f>
        <v>1863.0432176367669</v>
      </c>
      <c r="M23" s="1">
        <f>IF(M$4&lt;=核心参数输入!$B$9,M13+M22,0)</f>
        <v>1890.9888659013181</v>
      </c>
      <c r="N23" s="1">
        <f>IF(N$4&lt;=核心参数输入!$B$9,N13+N22,0)</f>
        <v>1919.3536988898377</v>
      </c>
      <c r="O23" s="1">
        <f>IF(O$4&lt;=核心参数输入!$B$9,O13+O22,0)</f>
        <v>1948.144004373185</v>
      </c>
      <c r="P23" s="1">
        <f>IF(P$4&lt;=核心参数输入!$B$9,P13+P22,0)</f>
        <v>1977.3661644387826</v>
      </c>
      <c r="Q23" s="1">
        <f>IF(Q$4&lt;=核心参数输入!$B$9,Q13+Q22,0)</f>
        <v>2007.026656905364</v>
      </c>
      <c r="R23" s="1">
        <f>IF(R$4&lt;=核心参数输入!$B$9,R13+R22,0)</f>
        <v>2037.1320567589441</v>
      </c>
      <c r="S23" s="1">
        <f>IF(S$4&lt;=核心参数输入!$B$9,S13+S22,0)</f>
        <v>2067.6890376103279</v>
      </c>
      <c r="T23" s="1">
        <f>IF(T$4&lt;=核心参数输入!$B$9,T13+T22,0)</f>
        <v>2098.7043731744825</v>
      </c>
      <c r="U23" s="1">
        <f>IF(U$4&lt;=核心参数输入!$B$9,U13+U22,0)</f>
        <v>2130.1849387720999</v>
      </c>
      <c r="V23" s="1">
        <f>IF(V$4&lt;=核心参数输入!$B$9,V13+V22,0)</f>
        <v>2162.137712853681</v>
      </c>
      <c r="W23" s="1">
        <f>IF(W$4&lt;=核心参数输入!$B$9,W13+W22,0)</f>
        <v>2194.5697785464854</v>
      </c>
      <c r="X23" s="1">
        <f>IF(X$4&lt;=核心参数输入!$B$9,X13+X22,0)</f>
        <v>2227.4883252246823</v>
      </c>
      <c r="Y23" s="1">
        <f>IF(Y$4&lt;=核心参数输入!$B$9,Y13+Y22,0)</f>
        <v>0</v>
      </c>
      <c r="Z23" s="1">
        <f>IF(Z$4&lt;=核心参数输入!$B$9,Z13+Z22,0)</f>
        <v>0</v>
      </c>
      <c r="AA23" s="1">
        <f>IF(AA$4&lt;=核心参数输入!$B$9,AA13+AA22,0)</f>
        <v>0</v>
      </c>
      <c r="AB23" s="1">
        <f>IF(AB$4&lt;=核心参数输入!$B$9,AB13+AB22,0)</f>
        <v>0</v>
      </c>
      <c r="AC23" s="1">
        <f>IF(AC$4&lt;=核心参数输入!$B$9,AC13+AC22,0)</f>
        <v>0</v>
      </c>
      <c r="AD23" s="1">
        <f>IF(AD$4&lt;=核心参数输入!$B$9,AD13+AD22,0)</f>
        <v>0</v>
      </c>
      <c r="AE23" s="1">
        <f>IF(AE$4&lt;=核心参数输入!$B$9,AE13+AE22,0)</f>
        <v>0</v>
      </c>
      <c r="AF23" s="1">
        <f>IF(AF$4&lt;=核心参数输入!$B$9,AF13+AF22,0)</f>
        <v>0</v>
      </c>
      <c r="AG23" s="1">
        <f>IF(AG$4&lt;=核心参数输入!$B$9,AG13+AG22,0)</f>
        <v>0</v>
      </c>
      <c r="AH23" s="1">
        <f>IF(AH$4&lt;=核心参数输入!$B$9,AH13+AH22,0)</f>
        <v>0</v>
      </c>
    </row>
    <row r="24" spans="1:34" ht="21" customHeight="1">
      <c r="A24" s="11" t="s">
        <v>233</v>
      </c>
      <c r="B24" s="11" t="s">
        <v>54</v>
      </c>
      <c r="D24" s="1">
        <f>IF(D$4&lt;=核心参数输入!$B$9,IF(AND(核心参数输入!$B$64=1,D$4=核心参数输入!$B$9),核心参数输入!$B$65,0),0)</f>
        <v>0</v>
      </c>
      <c r="E24" s="1">
        <f>IF(E$4&lt;=核心参数输入!$B$9,IF(AND(核心参数输入!$B$64=1,E$4=核心参数输入!$B$9),核心参数输入!$B$65,0),0)</f>
        <v>0</v>
      </c>
      <c r="F24" s="1">
        <f>IF(F$4&lt;=核心参数输入!$B$9,IF(AND(核心参数输入!$B$64=1,F$4=核心参数输入!$B$9),核心参数输入!$B$65,0),0)</f>
        <v>0</v>
      </c>
      <c r="G24" s="1">
        <f>IF(G$4&lt;=核心参数输入!$B$9,IF(AND(核心参数输入!$B$64=1,G$4=核心参数输入!$B$9),核心参数输入!$B$65,0),0)</f>
        <v>0</v>
      </c>
      <c r="H24" s="1">
        <f>IF(H$4&lt;=核心参数输入!$B$9,IF(AND(核心参数输入!$B$64=1,H$4=核心参数输入!$B$9),核心参数输入!$B$65,0),0)</f>
        <v>0</v>
      </c>
      <c r="I24" s="1">
        <f>IF(I$4&lt;=核心参数输入!$B$9,IF(AND(核心参数输入!$B$64=1,I$4=核心参数输入!$B$9),核心参数输入!$B$65,0),0)</f>
        <v>0</v>
      </c>
      <c r="J24" s="1">
        <f>IF(J$4&lt;=核心参数输入!$B$9,IF(AND(核心参数输入!$B$64=1,J$4=核心参数输入!$B$9),核心参数输入!$B$65,0),0)</f>
        <v>0</v>
      </c>
      <c r="K24" s="1">
        <f>IF(K$4&lt;=核心参数输入!$B$9,IF(AND(核心参数输入!$B$64=1,K$4=核心参数输入!$B$9),核心参数输入!$B$65,0),0)</f>
        <v>0</v>
      </c>
      <c r="L24" s="1">
        <f>IF(L$4&lt;=核心参数输入!$B$9,IF(AND(核心参数输入!$B$64=1,L$4=核心参数输入!$B$9),核心参数输入!$B$65,0),0)</f>
        <v>0</v>
      </c>
      <c r="M24" s="1">
        <f>IF(M$4&lt;=核心参数输入!$B$9,IF(AND(核心参数输入!$B$64=1,M$4=核心参数输入!$B$9),核心参数输入!$B$65,0),0)</f>
        <v>0</v>
      </c>
      <c r="N24" s="1">
        <f>IF(N$4&lt;=核心参数输入!$B$9,IF(AND(核心参数输入!$B$64=1,N$4=核心参数输入!$B$9),核心参数输入!$B$65,0),0)</f>
        <v>0</v>
      </c>
      <c r="O24" s="1">
        <f>IF(O$4&lt;=核心参数输入!$B$9,IF(AND(核心参数输入!$B$64=1,O$4=核心参数输入!$B$9),核心参数输入!$B$65,0),0)</f>
        <v>0</v>
      </c>
      <c r="P24" s="1">
        <f>IF(P$4&lt;=核心参数输入!$B$9,IF(AND(核心参数输入!$B$64=1,P$4=核心参数输入!$B$9),核心参数输入!$B$65,0),0)</f>
        <v>0</v>
      </c>
      <c r="Q24" s="1">
        <f>IF(Q$4&lt;=核心参数输入!$B$9,IF(AND(核心参数输入!$B$64=1,Q$4=核心参数输入!$B$9),核心参数输入!$B$65,0),0)</f>
        <v>0</v>
      </c>
      <c r="R24" s="1">
        <f>IF(R$4&lt;=核心参数输入!$B$9,IF(AND(核心参数输入!$B$64=1,R$4=核心参数输入!$B$9),核心参数输入!$B$65,0),0)</f>
        <v>0</v>
      </c>
      <c r="S24" s="1">
        <f>IF(S$4&lt;=核心参数输入!$B$9,IF(AND(核心参数输入!$B$64=1,S$4=核心参数输入!$B$9),核心参数输入!$B$65,0),0)</f>
        <v>0</v>
      </c>
      <c r="T24" s="1">
        <f>IF(T$4&lt;=核心参数输入!$B$9,IF(AND(核心参数输入!$B$64=1,T$4=核心参数输入!$B$9),核心参数输入!$B$65,0),0)</f>
        <v>0</v>
      </c>
      <c r="U24" s="1">
        <f>IF(U$4&lt;=核心参数输入!$B$9,IF(AND(核心参数输入!$B$64=1,U$4=核心参数输入!$B$9),核心参数输入!$B$65,0),0)</f>
        <v>0</v>
      </c>
      <c r="V24" s="1">
        <f>IF(V$4&lt;=核心参数输入!$B$9,IF(AND(核心参数输入!$B$64=1,V$4=核心参数输入!$B$9),核心参数输入!$B$65,0),0)</f>
        <v>0</v>
      </c>
      <c r="W24" s="1">
        <f>IF(W$4&lt;=核心参数输入!$B$9,IF(AND(核心参数输入!$B$64=1,W$4=核心参数输入!$B$9),核心参数输入!$B$65,0),0)</f>
        <v>0</v>
      </c>
      <c r="X24" s="1">
        <f>IF(X$4&lt;=核心参数输入!$B$9,IF(AND(核心参数输入!$B$64=1,X$4=核心参数输入!$B$9),核心参数输入!$B$65,0),0)</f>
        <v>0</v>
      </c>
      <c r="Y24" s="1">
        <f>IF(Y$4&lt;=核心参数输入!$B$9,IF(AND(核心参数输入!$B$64=1,Y$4=核心参数输入!$B$9),核心参数输入!$B$65,0),0)</f>
        <v>0</v>
      </c>
      <c r="Z24" s="1">
        <f>IF(Z$4&lt;=核心参数输入!$B$9,IF(AND(核心参数输入!$B$64=1,Z$4=核心参数输入!$B$9),核心参数输入!$B$65,0),0)</f>
        <v>0</v>
      </c>
      <c r="AA24" s="1">
        <f>IF(AA$4&lt;=核心参数输入!$B$9,IF(AND(核心参数输入!$B$64=1,AA$4=核心参数输入!$B$9),核心参数输入!$B$65,0),0)</f>
        <v>0</v>
      </c>
      <c r="AB24" s="1">
        <f>IF(AB$4&lt;=核心参数输入!$B$9,IF(AND(核心参数输入!$B$64=1,AB$4=核心参数输入!$B$9),核心参数输入!$B$65,0),0)</f>
        <v>0</v>
      </c>
      <c r="AC24" s="1">
        <f>IF(AC$4&lt;=核心参数输入!$B$9,IF(AND(核心参数输入!$B$64=1,AC$4=核心参数输入!$B$9),核心参数输入!$B$65,0),0)</f>
        <v>0</v>
      </c>
      <c r="AD24" s="1">
        <f>IF(AD$4&lt;=核心参数输入!$B$9,IF(AND(核心参数输入!$B$64=1,AD$4=核心参数输入!$B$9),核心参数输入!$B$65,0),0)</f>
        <v>0</v>
      </c>
      <c r="AE24" s="1">
        <f>IF(AE$4&lt;=核心参数输入!$B$9,IF(AND(核心参数输入!$B$64=1,AE$4=核心参数输入!$B$9),核心参数输入!$B$65,0),0)</f>
        <v>0</v>
      </c>
      <c r="AF24" s="1">
        <f>IF(AF$4&lt;=核心参数输入!$B$9,IF(AND(核心参数输入!$B$64=1,AF$4=核心参数输入!$B$9),核心参数输入!$B$65,0),0)</f>
        <v>0</v>
      </c>
      <c r="AG24" s="1">
        <f>IF(AG$4&lt;=核心参数输入!$B$9,IF(AND(核心参数输入!$B$64=1,AG$4=核心参数输入!$B$9),核心参数输入!$B$65,0),0)</f>
        <v>0</v>
      </c>
      <c r="AH24" s="1">
        <f>IF(AH$4&lt;=核心参数输入!$B$9,IF(AND(核心参数输入!$B$64=1,AH$4=核心参数输入!$B$9),核心参数输入!$B$65,0),0)</f>
        <v>0</v>
      </c>
    </row>
    <row r="25" spans="1:34" ht="21" customHeight="1">
      <c r="A25" s="11" t="s">
        <v>234</v>
      </c>
      <c r="B25" s="11" t="s">
        <v>54</v>
      </c>
      <c r="D25" s="1">
        <f>IF(D$4&lt;=核心参数输入!$B$9,D24*核心参数输入!$B$66,0)</f>
        <v>0</v>
      </c>
      <c r="E25" s="1">
        <f>IF(E$4&lt;=核心参数输入!$B$9,E24*核心参数输入!$B$66,0)</f>
        <v>0</v>
      </c>
      <c r="F25" s="1">
        <f>IF(F$4&lt;=核心参数输入!$B$9,F24*核心参数输入!$B$66,0)</f>
        <v>0</v>
      </c>
      <c r="G25" s="1">
        <f>IF(G$4&lt;=核心参数输入!$B$9,G24*核心参数输入!$B$66,0)</f>
        <v>0</v>
      </c>
      <c r="H25" s="1">
        <f>IF(H$4&lt;=核心参数输入!$B$9,H24*核心参数输入!$B$66,0)</f>
        <v>0</v>
      </c>
      <c r="I25" s="1">
        <f>IF(I$4&lt;=核心参数输入!$B$9,I24*核心参数输入!$B$66,0)</f>
        <v>0</v>
      </c>
      <c r="J25" s="1">
        <f>IF(J$4&lt;=核心参数输入!$B$9,J24*核心参数输入!$B$66,0)</f>
        <v>0</v>
      </c>
      <c r="K25" s="1">
        <f>IF(K$4&lt;=核心参数输入!$B$9,K24*核心参数输入!$B$66,0)</f>
        <v>0</v>
      </c>
      <c r="L25" s="1">
        <f>IF(L$4&lt;=核心参数输入!$B$9,L24*核心参数输入!$B$66,0)</f>
        <v>0</v>
      </c>
      <c r="M25" s="1">
        <f>IF(M$4&lt;=核心参数输入!$B$9,M24*核心参数输入!$B$66,0)</f>
        <v>0</v>
      </c>
      <c r="N25" s="1">
        <f>IF(N$4&lt;=核心参数输入!$B$9,N24*核心参数输入!$B$66,0)</f>
        <v>0</v>
      </c>
      <c r="O25" s="1">
        <f>IF(O$4&lt;=核心参数输入!$B$9,O24*核心参数输入!$B$66,0)</f>
        <v>0</v>
      </c>
      <c r="P25" s="1">
        <f>IF(P$4&lt;=核心参数输入!$B$9,P24*核心参数输入!$B$66,0)</f>
        <v>0</v>
      </c>
      <c r="Q25" s="1">
        <f>IF(Q$4&lt;=核心参数输入!$B$9,Q24*核心参数输入!$B$66,0)</f>
        <v>0</v>
      </c>
      <c r="R25" s="1">
        <f>IF(R$4&lt;=核心参数输入!$B$9,R24*核心参数输入!$B$66,0)</f>
        <v>0</v>
      </c>
      <c r="S25" s="1">
        <f>IF(S$4&lt;=核心参数输入!$B$9,S24*核心参数输入!$B$66,0)</f>
        <v>0</v>
      </c>
      <c r="T25" s="1">
        <f>IF(T$4&lt;=核心参数输入!$B$9,T24*核心参数输入!$B$66,0)</f>
        <v>0</v>
      </c>
      <c r="U25" s="1">
        <f>IF(U$4&lt;=核心参数输入!$B$9,U24*核心参数输入!$B$66,0)</f>
        <v>0</v>
      </c>
      <c r="V25" s="1">
        <f>IF(V$4&lt;=核心参数输入!$B$9,V24*核心参数输入!$B$66,0)</f>
        <v>0</v>
      </c>
      <c r="W25" s="1">
        <f>IF(W$4&lt;=核心参数输入!$B$9,W24*核心参数输入!$B$66,0)</f>
        <v>0</v>
      </c>
      <c r="X25" s="1">
        <f>IF(X$4&lt;=核心参数输入!$B$9,X24*核心参数输入!$B$66,0)</f>
        <v>0</v>
      </c>
      <c r="Y25" s="1">
        <f>IF(Y$4&lt;=核心参数输入!$B$9,Y24*核心参数输入!$B$66,0)</f>
        <v>0</v>
      </c>
      <c r="Z25" s="1">
        <f>IF(Z$4&lt;=核心参数输入!$B$9,Z24*核心参数输入!$B$66,0)</f>
        <v>0</v>
      </c>
      <c r="AA25" s="1">
        <f>IF(AA$4&lt;=核心参数输入!$B$9,AA24*核心参数输入!$B$66,0)</f>
        <v>0</v>
      </c>
      <c r="AB25" s="1">
        <f>IF(AB$4&lt;=核心参数输入!$B$9,AB24*核心参数输入!$B$66,0)</f>
        <v>0</v>
      </c>
      <c r="AC25" s="1">
        <f>IF(AC$4&lt;=核心参数输入!$B$9,AC24*核心参数输入!$B$66,0)</f>
        <v>0</v>
      </c>
      <c r="AD25" s="1">
        <f>IF(AD$4&lt;=核心参数输入!$B$9,AD24*核心参数输入!$B$66,0)</f>
        <v>0</v>
      </c>
      <c r="AE25" s="1">
        <f>IF(AE$4&lt;=核心参数输入!$B$9,AE24*核心参数输入!$B$66,0)</f>
        <v>0</v>
      </c>
      <c r="AF25" s="1">
        <f>IF(AF$4&lt;=核心参数输入!$B$9,AF24*核心参数输入!$B$66,0)</f>
        <v>0</v>
      </c>
      <c r="AG25" s="1">
        <f>IF(AG$4&lt;=核心参数输入!$B$9,AG24*核心参数输入!$B$66,0)</f>
        <v>0</v>
      </c>
      <c r="AH25" s="1">
        <f>IF(AH$4&lt;=核心参数输入!$B$9,AH24*核心参数输入!$B$66,0)</f>
        <v>0</v>
      </c>
    </row>
    <row r="26" spans="1:34" ht="21" customHeight="1">
      <c r="A26" s="11" t="s">
        <v>235</v>
      </c>
      <c r="B26" s="11" t="s">
        <v>54</v>
      </c>
      <c r="D26" s="1">
        <f>IF(D$4&lt;=核心参数输入!$B$9,D24-D25,0)</f>
        <v>0</v>
      </c>
      <c r="E26" s="1">
        <f>IF(E$4&lt;=核心参数输入!$B$9,E24-E25,0)</f>
        <v>0</v>
      </c>
      <c r="F26" s="1">
        <f>IF(F$4&lt;=核心参数输入!$B$9,F24-F25,0)</f>
        <v>0</v>
      </c>
      <c r="G26" s="1">
        <f>IF(G$4&lt;=核心参数输入!$B$9,G24-G25,0)</f>
        <v>0</v>
      </c>
      <c r="H26" s="1">
        <f>IF(H$4&lt;=核心参数输入!$B$9,H24-H25,0)</f>
        <v>0</v>
      </c>
      <c r="I26" s="1">
        <f>IF(I$4&lt;=核心参数输入!$B$9,I24-I25,0)</f>
        <v>0</v>
      </c>
      <c r="J26" s="1">
        <f>IF(J$4&lt;=核心参数输入!$B$9,J24-J25,0)</f>
        <v>0</v>
      </c>
      <c r="K26" s="1">
        <f>IF(K$4&lt;=核心参数输入!$B$9,K24-K25,0)</f>
        <v>0</v>
      </c>
      <c r="L26" s="1">
        <f>IF(L$4&lt;=核心参数输入!$B$9,L24-L25,0)</f>
        <v>0</v>
      </c>
      <c r="M26" s="1">
        <f>IF(M$4&lt;=核心参数输入!$B$9,M24-M25,0)</f>
        <v>0</v>
      </c>
      <c r="N26" s="1">
        <f>IF(N$4&lt;=核心参数输入!$B$9,N24-N25,0)</f>
        <v>0</v>
      </c>
      <c r="O26" s="1">
        <f>IF(O$4&lt;=核心参数输入!$B$9,O24-O25,0)</f>
        <v>0</v>
      </c>
      <c r="P26" s="1">
        <f>IF(P$4&lt;=核心参数输入!$B$9,P24-P25,0)</f>
        <v>0</v>
      </c>
      <c r="Q26" s="1">
        <f>IF(Q$4&lt;=核心参数输入!$B$9,Q24-Q25,0)</f>
        <v>0</v>
      </c>
      <c r="R26" s="1">
        <f>IF(R$4&lt;=核心参数输入!$B$9,R24-R25,0)</f>
        <v>0</v>
      </c>
      <c r="S26" s="1">
        <f>IF(S$4&lt;=核心参数输入!$B$9,S24-S25,0)</f>
        <v>0</v>
      </c>
      <c r="T26" s="1">
        <f>IF(T$4&lt;=核心参数输入!$B$9,T24-T25,0)</f>
        <v>0</v>
      </c>
      <c r="U26" s="1">
        <f>IF(U$4&lt;=核心参数输入!$B$9,U24-U25,0)</f>
        <v>0</v>
      </c>
      <c r="V26" s="1">
        <f>IF(V$4&lt;=核心参数输入!$B$9,V24-V25,0)</f>
        <v>0</v>
      </c>
      <c r="W26" s="1">
        <f>IF(W$4&lt;=核心参数输入!$B$9,W24-W25,0)</f>
        <v>0</v>
      </c>
      <c r="X26" s="1">
        <f>IF(X$4&lt;=核心参数输入!$B$9,X24-X25,0)</f>
        <v>0</v>
      </c>
      <c r="Y26" s="1">
        <f>IF(Y$4&lt;=核心参数输入!$B$9,Y24-Y25,0)</f>
        <v>0</v>
      </c>
      <c r="Z26" s="1">
        <f>IF(Z$4&lt;=核心参数输入!$B$9,Z24-Z25,0)</f>
        <v>0</v>
      </c>
      <c r="AA26" s="1">
        <f>IF(AA$4&lt;=核心参数输入!$B$9,AA24-AA25,0)</f>
        <v>0</v>
      </c>
      <c r="AB26" s="1">
        <f>IF(AB$4&lt;=核心参数输入!$B$9,AB24-AB25,0)</f>
        <v>0</v>
      </c>
      <c r="AC26" s="1">
        <f>IF(AC$4&lt;=核心参数输入!$B$9,AC24-AC25,0)</f>
        <v>0</v>
      </c>
      <c r="AD26" s="1">
        <f>IF(AD$4&lt;=核心参数输入!$B$9,AD24-AD25,0)</f>
        <v>0</v>
      </c>
      <c r="AE26" s="1">
        <f>IF(AE$4&lt;=核心参数输入!$B$9,AE24-AE25,0)</f>
        <v>0</v>
      </c>
      <c r="AF26" s="1">
        <f>IF(AF$4&lt;=核心参数输入!$B$9,AF24-AF25,0)</f>
        <v>0</v>
      </c>
      <c r="AG26" s="1">
        <f>IF(AG$4&lt;=核心参数输入!$B$9,AG24-AG25,0)</f>
        <v>0</v>
      </c>
      <c r="AH26" s="1">
        <f>IF(AH$4&lt;=核心参数输入!$B$9,AH24-AH25,0)</f>
        <v>0</v>
      </c>
    </row>
    <row r="87" spans="1:34" ht="24.95" customHeight="1">
      <c r="A87" s="15" t="s">
        <v>236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</row>
    <row r="90" spans="1:34" ht="21" customHeight="1">
      <c r="A90" s="11" t="s">
        <v>160</v>
      </c>
      <c r="B90" s="11" t="s">
        <v>30</v>
      </c>
      <c r="D90" s="10">
        <f>IF(D$4&lt;=核心参数输入!$B$9,建筑面积与开发计划!D101,0)</f>
        <v>0</v>
      </c>
      <c r="E90" s="10">
        <f>IF(E$4&lt;=核心参数输入!$B$9,建筑面积与开发计划!E101,0)</f>
        <v>0</v>
      </c>
      <c r="F90" s="10">
        <f>IF(F$4&lt;=核心参数输入!$B$9,建筑面积与开发计划!F101,0)</f>
        <v>0</v>
      </c>
      <c r="G90" s="10">
        <f>IF(G$4&lt;=核心参数输入!$B$9,建筑面积与开发计划!G101,0)</f>
        <v>0</v>
      </c>
      <c r="H90" s="10">
        <f>IF(H$4&lt;=核心参数输入!$B$9,建筑面积与开发计划!H101,0)</f>
        <v>0.3</v>
      </c>
      <c r="I90" s="10">
        <f>IF(I$4&lt;=核心参数输入!$B$9,建筑面积与开发计划!I101,0)</f>
        <v>0.4</v>
      </c>
      <c r="J90" s="10">
        <f>IF(J$4&lt;=核心参数输入!$B$9,建筑面积与开发计划!J101,0)</f>
        <v>0.3</v>
      </c>
      <c r="K90" s="10">
        <f>IF(K$4&lt;=核心参数输入!$B$9,建筑面积与开发计划!K101,0)</f>
        <v>0</v>
      </c>
      <c r="L90" s="10">
        <f>IF(L$4&lt;=核心参数输入!$B$9,建筑面积与开发计划!L101,0)</f>
        <v>0</v>
      </c>
      <c r="M90" s="10">
        <f>IF(M$4&lt;=核心参数输入!$B$9,建筑面积与开发计划!M101,0)</f>
        <v>0</v>
      </c>
      <c r="N90" s="10">
        <f>IF(N$4&lt;=核心参数输入!$B$9,建筑面积与开发计划!N101,0)</f>
        <v>0</v>
      </c>
      <c r="O90" s="10">
        <f>IF(O$4&lt;=核心参数输入!$B$9,建筑面积与开发计划!O101,0)</f>
        <v>0</v>
      </c>
      <c r="P90" s="10">
        <f>IF(P$4&lt;=核心参数输入!$B$9,建筑面积与开发计划!P101,0)</f>
        <v>0</v>
      </c>
      <c r="Q90" s="10">
        <f>IF(Q$4&lt;=核心参数输入!$B$9,建筑面积与开发计划!Q101,0)</f>
        <v>0</v>
      </c>
      <c r="R90" s="10">
        <f>IF(R$4&lt;=核心参数输入!$B$9,建筑面积与开发计划!R101,0)</f>
        <v>0</v>
      </c>
      <c r="S90" s="10">
        <f>IF(S$4&lt;=核心参数输入!$B$9,建筑面积与开发计划!S101,0)</f>
        <v>0</v>
      </c>
      <c r="T90" s="10">
        <f>IF(T$4&lt;=核心参数输入!$B$9,建筑面积与开发计划!T101,0)</f>
        <v>0</v>
      </c>
      <c r="U90" s="10">
        <f>IF(U$4&lt;=核心参数输入!$B$9,建筑面积与开发计划!U101,0)</f>
        <v>0</v>
      </c>
      <c r="V90" s="10">
        <f>IF(V$4&lt;=核心参数输入!$B$9,建筑面积与开发计划!V101,0)</f>
        <v>0</v>
      </c>
      <c r="W90" s="10">
        <f>IF(W$4&lt;=核心参数输入!$B$9,建筑面积与开发计划!W101,0)</f>
        <v>0</v>
      </c>
      <c r="X90" s="10">
        <f>IF(X$4&lt;=核心参数输入!$B$9,建筑面积与开发计划!X101,0)</f>
        <v>0</v>
      </c>
      <c r="Y90" s="10">
        <f>IF(Y$4&lt;=核心参数输入!$B$9,建筑面积与开发计划!Y101,0)</f>
        <v>0</v>
      </c>
      <c r="Z90" s="10">
        <f>IF(Z$4&lt;=核心参数输入!$B$9,建筑面积与开发计划!Z101,0)</f>
        <v>0</v>
      </c>
      <c r="AA90" s="10">
        <f>IF(AA$4&lt;=核心参数输入!$B$9,建筑面积与开发计划!AA101,0)</f>
        <v>0</v>
      </c>
      <c r="AB90" s="10">
        <f>IF(AB$4&lt;=核心参数输入!$B$9,建筑面积与开发计划!AB101,0)</f>
        <v>0</v>
      </c>
      <c r="AC90" s="10">
        <f>IF(AC$4&lt;=核心参数输入!$B$9,建筑面积与开发计划!AC101,0)</f>
        <v>0</v>
      </c>
      <c r="AD90" s="10">
        <f>IF(AD$4&lt;=核心参数输入!$B$9,建筑面积与开发计划!AD101,0)</f>
        <v>0</v>
      </c>
      <c r="AE90" s="10">
        <f>IF(AE$4&lt;=核心参数输入!$B$9,建筑面积与开发计划!AE101,0)</f>
        <v>0</v>
      </c>
      <c r="AF90" s="10">
        <f>IF(AF$4&lt;=核心参数输入!$B$9,建筑面积与开发计划!AF101,0)</f>
        <v>0</v>
      </c>
      <c r="AG90" s="10">
        <f>IF(AG$4&lt;=核心参数输入!$B$9,建筑面积与开发计划!AG101,0)</f>
        <v>0</v>
      </c>
      <c r="AH90" s="10">
        <f>IF(AH$4&lt;=核心参数输入!$B$9,建筑面积与开发计划!AH101,0)</f>
        <v>0</v>
      </c>
    </row>
    <row r="91" spans="1:34" ht="21" customHeight="1">
      <c r="A91" s="11" t="s">
        <v>224</v>
      </c>
      <c r="B91" s="11" t="s">
        <v>24</v>
      </c>
      <c r="D91" s="1">
        <f>IF(D$4&lt;=核心参数输入!$B$9,建筑面积与开发计划!D103,0)</f>
        <v>0</v>
      </c>
      <c r="E91" s="1">
        <f>IF(E$4&lt;=核心参数输入!$B$9,建筑面积与开发计划!E103,0)</f>
        <v>0</v>
      </c>
      <c r="F91" s="1">
        <f>IF(F$4&lt;=核心参数输入!$B$9,建筑面积与开发计划!F103,0)</f>
        <v>0</v>
      </c>
      <c r="G91" s="1">
        <f>IF(G$4&lt;=核心参数输入!$B$9,建筑面积与开发计划!G103,0)</f>
        <v>0</v>
      </c>
      <c r="H91" s="1">
        <f>IF(H$4&lt;=核心参数输入!$B$9,建筑面积与开发计划!H103,0)</f>
        <v>22275</v>
      </c>
      <c r="I91" s="1">
        <f>IF(I$4&lt;=核心参数输入!$B$9,建筑面积与开发计划!I103,0)</f>
        <v>29700</v>
      </c>
      <c r="J91" s="1">
        <f>IF(J$4&lt;=核心参数输入!$B$9,建筑面积与开发计划!J103,0)</f>
        <v>22275</v>
      </c>
      <c r="K91" s="1">
        <f>IF(K$4&lt;=核心参数输入!$B$9,建筑面积与开发计划!K103,0)</f>
        <v>0</v>
      </c>
      <c r="L91" s="1">
        <f>IF(L$4&lt;=核心参数输入!$B$9,建筑面积与开发计划!L103,0)</f>
        <v>0</v>
      </c>
      <c r="M91" s="1">
        <f>IF(M$4&lt;=核心参数输入!$B$9,建筑面积与开发计划!M103,0)</f>
        <v>0</v>
      </c>
      <c r="N91" s="1">
        <f>IF(N$4&lt;=核心参数输入!$B$9,建筑面积与开发计划!N103,0)</f>
        <v>0</v>
      </c>
      <c r="O91" s="1">
        <f>IF(O$4&lt;=核心参数输入!$B$9,建筑面积与开发计划!O103,0)</f>
        <v>0</v>
      </c>
      <c r="P91" s="1">
        <f>IF(P$4&lt;=核心参数输入!$B$9,建筑面积与开发计划!P103,0)</f>
        <v>0</v>
      </c>
      <c r="Q91" s="1">
        <f>IF(Q$4&lt;=核心参数输入!$B$9,建筑面积与开发计划!Q103,0)</f>
        <v>0</v>
      </c>
      <c r="R91" s="1">
        <f>IF(R$4&lt;=核心参数输入!$B$9,建筑面积与开发计划!R103,0)</f>
        <v>0</v>
      </c>
      <c r="S91" s="1">
        <f>IF(S$4&lt;=核心参数输入!$B$9,建筑面积与开发计划!S103,0)</f>
        <v>0</v>
      </c>
      <c r="T91" s="1">
        <f>IF(T$4&lt;=核心参数输入!$B$9,建筑面积与开发计划!T103,0)</f>
        <v>0</v>
      </c>
      <c r="U91" s="1">
        <f>IF(U$4&lt;=核心参数输入!$B$9,建筑面积与开发计划!U103,0)</f>
        <v>0</v>
      </c>
      <c r="V91" s="1">
        <f>IF(V$4&lt;=核心参数输入!$B$9,建筑面积与开发计划!V103,0)</f>
        <v>0</v>
      </c>
      <c r="W91" s="1">
        <f>IF(W$4&lt;=核心参数输入!$B$9,建筑面积与开发计划!W103,0)</f>
        <v>0</v>
      </c>
      <c r="X91" s="1">
        <f>IF(X$4&lt;=核心参数输入!$B$9,建筑面积与开发计划!X103,0)</f>
        <v>0</v>
      </c>
      <c r="Y91" s="1">
        <f>IF(Y$4&lt;=核心参数输入!$B$9,建筑面积与开发计划!Y103,0)</f>
        <v>0</v>
      </c>
      <c r="Z91" s="1">
        <f>IF(Z$4&lt;=核心参数输入!$B$9,建筑面积与开发计划!Z103,0)</f>
        <v>0</v>
      </c>
      <c r="AA91" s="1">
        <f>IF(AA$4&lt;=核心参数输入!$B$9,建筑面积与开发计划!AA103,0)</f>
        <v>0</v>
      </c>
      <c r="AB91" s="1">
        <f>IF(AB$4&lt;=核心参数输入!$B$9,建筑面积与开发计划!AB103,0)</f>
        <v>0</v>
      </c>
      <c r="AC91" s="1">
        <f>IF(AC$4&lt;=核心参数输入!$B$9,建筑面积与开发计划!AC103,0)</f>
        <v>0</v>
      </c>
      <c r="AD91" s="1">
        <f>IF(AD$4&lt;=核心参数输入!$B$9,建筑面积与开发计划!AD103,0)</f>
        <v>0</v>
      </c>
      <c r="AE91" s="1">
        <f>IF(AE$4&lt;=核心参数输入!$B$9,建筑面积与开发计划!AE103,0)</f>
        <v>0</v>
      </c>
      <c r="AF91" s="1">
        <f>IF(AF$4&lt;=核心参数输入!$B$9,建筑面积与开发计划!AF103,0)</f>
        <v>0</v>
      </c>
      <c r="AG91" s="1">
        <f>IF(AG$4&lt;=核心参数输入!$B$9,建筑面积与开发计划!AG103,0)</f>
        <v>0</v>
      </c>
      <c r="AH91" s="1">
        <f>IF(AH$4&lt;=核心参数输入!$B$9,建筑面积与开发计划!AH103,0)</f>
        <v>0</v>
      </c>
    </row>
    <row r="92" spans="1:34" ht="21" customHeight="1">
      <c r="A92" s="11" t="s">
        <v>225</v>
      </c>
      <c r="B92" s="11" t="s">
        <v>47</v>
      </c>
      <c r="D92" s="1">
        <f>IF(D$4&lt;=核心参数输入!$B$9,核心参数输入!$B$31*(1-核心参数输入!$B$78),0)</f>
        <v>5850</v>
      </c>
      <c r="E92" s="1">
        <f>IF(E$4&lt;=核心参数输入!$B$9,核心参数输入!$B$31*(1-核心参数输入!$B$78),0)</f>
        <v>5850</v>
      </c>
      <c r="F92" s="1">
        <f>IF(F$4&lt;=核心参数输入!$B$9,核心参数输入!$B$31*(1-核心参数输入!$B$78),0)</f>
        <v>5850</v>
      </c>
      <c r="G92" s="1">
        <f>IF(G$4&lt;=核心参数输入!$B$9,核心参数输入!$B$31*(1-核心参数输入!$B$78),0)</f>
        <v>5850</v>
      </c>
      <c r="H92" s="1">
        <f>IF(H$4&lt;=核心参数输入!$B$9,核心参数输入!$B$31*(1-核心参数输入!$B$78),0)</f>
        <v>5850</v>
      </c>
      <c r="I92" s="1">
        <f>IF(I$4&lt;=核心参数输入!$B$9,核心参数输入!$B$31*(1-核心参数输入!$B$78),0)</f>
        <v>5850</v>
      </c>
      <c r="J92" s="1">
        <f>IF(J$4&lt;=核心参数输入!$B$9,核心参数输入!$B$31*(1-核心参数输入!$B$78),0)</f>
        <v>5850</v>
      </c>
      <c r="K92" s="1">
        <f>IF(K$4&lt;=核心参数输入!$B$9,核心参数输入!$B$31*(1-核心参数输入!$B$78),0)</f>
        <v>5850</v>
      </c>
      <c r="L92" s="1">
        <f>IF(L$4&lt;=核心参数输入!$B$9,核心参数输入!$B$31*(1-核心参数输入!$B$78),0)</f>
        <v>5850</v>
      </c>
      <c r="M92" s="1">
        <f>IF(M$4&lt;=核心参数输入!$B$9,核心参数输入!$B$31*(1-核心参数输入!$B$78),0)</f>
        <v>5850</v>
      </c>
      <c r="N92" s="1">
        <f>IF(N$4&lt;=核心参数输入!$B$9,核心参数输入!$B$31*(1-核心参数输入!$B$78),0)</f>
        <v>5850</v>
      </c>
      <c r="O92" s="1">
        <f>IF(O$4&lt;=核心参数输入!$B$9,核心参数输入!$B$31*(1-核心参数输入!$B$78),0)</f>
        <v>5850</v>
      </c>
      <c r="P92" s="1">
        <f>IF(P$4&lt;=核心参数输入!$B$9,核心参数输入!$B$31*(1-核心参数输入!$B$78),0)</f>
        <v>5850</v>
      </c>
      <c r="Q92" s="1">
        <f>IF(Q$4&lt;=核心参数输入!$B$9,核心参数输入!$B$31*(1-核心参数输入!$B$78),0)</f>
        <v>5850</v>
      </c>
      <c r="R92" s="1">
        <f>IF(R$4&lt;=核心参数输入!$B$9,核心参数输入!$B$31*(1-核心参数输入!$B$78),0)</f>
        <v>5850</v>
      </c>
      <c r="S92" s="1">
        <f>IF(S$4&lt;=核心参数输入!$B$9,核心参数输入!$B$31*(1-核心参数输入!$B$78),0)</f>
        <v>5850</v>
      </c>
      <c r="T92" s="1">
        <f>IF(T$4&lt;=核心参数输入!$B$9,核心参数输入!$B$31*(1-核心参数输入!$B$78),0)</f>
        <v>5850</v>
      </c>
      <c r="U92" s="1">
        <f>IF(U$4&lt;=核心参数输入!$B$9,核心参数输入!$B$31*(1-核心参数输入!$B$78),0)</f>
        <v>5850</v>
      </c>
      <c r="V92" s="1">
        <f>IF(V$4&lt;=核心参数输入!$B$9,核心参数输入!$B$31*(1-核心参数输入!$B$78),0)</f>
        <v>5850</v>
      </c>
      <c r="W92" s="1">
        <f>IF(W$4&lt;=核心参数输入!$B$9,核心参数输入!$B$31*(1-核心参数输入!$B$78),0)</f>
        <v>5850</v>
      </c>
      <c r="X92" s="1">
        <f>IF(X$4&lt;=核心参数输入!$B$9,核心参数输入!$B$31*(1-核心参数输入!$B$78),0)</f>
        <v>5850</v>
      </c>
      <c r="Y92" s="1">
        <f>IF(Y$4&lt;=核心参数输入!$B$9,核心参数输入!$B$31*(1-核心参数输入!$B$78),0)</f>
        <v>0</v>
      </c>
      <c r="Z92" s="1">
        <f>IF(Z$4&lt;=核心参数输入!$B$9,核心参数输入!$B$31*(1-核心参数输入!$B$78),0)</f>
        <v>0</v>
      </c>
      <c r="AA92" s="1">
        <f>IF(AA$4&lt;=核心参数输入!$B$9,核心参数输入!$B$31*(1-核心参数输入!$B$78),0)</f>
        <v>0</v>
      </c>
      <c r="AB92" s="1">
        <f>IF(AB$4&lt;=核心参数输入!$B$9,核心参数输入!$B$31*(1-核心参数输入!$B$78),0)</f>
        <v>0</v>
      </c>
      <c r="AC92" s="1">
        <f>IF(AC$4&lt;=核心参数输入!$B$9,核心参数输入!$B$31*(1-核心参数输入!$B$78),0)</f>
        <v>0</v>
      </c>
      <c r="AD92" s="1">
        <f>IF(AD$4&lt;=核心参数输入!$B$9,核心参数输入!$B$31*(1-核心参数输入!$B$78),0)</f>
        <v>0</v>
      </c>
      <c r="AE92" s="1">
        <f>IF(AE$4&lt;=核心参数输入!$B$9,核心参数输入!$B$31*(1-核心参数输入!$B$78),0)</f>
        <v>0</v>
      </c>
      <c r="AF92" s="1">
        <f>IF(AF$4&lt;=核心参数输入!$B$9,核心参数输入!$B$31*(1-核心参数输入!$B$78),0)</f>
        <v>0</v>
      </c>
      <c r="AG92" s="1">
        <f>IF(AG$4&lt;=核心参数输入!$B$9,核心参数输入!$B$31*(1-核心参数输入!$B$78),0)</f>
        <v>0</v>
      </c>
      <c r="AH92" s="1">
        <f>IF(AH$4&lt;=核心参数输入!$B$9,核心参数输入!$B$31*(1-核心参数输入!$B$78),0)</f>
        <v>0</v>
      </c>
    </row>
    <row r="93" spans="1:34" ht="21" customHeight="1">
      <c r="A93" s="11" t="s">
        <v>226</v>
      </c>
      <c r="B93" s="11" t="s">
        <v>54</v>
      </c>
      <c r="D93" s="1">
        <f>IF(D$4&lt;=核心参数输入!$B$9,D91*D92/10000,0)</f>
        <v>0</v>
      </c>
      <c r="E93" s="1">
        <f>IF(E$4&lt;=核心参数输入!$B$9,E91*E92/10000,0)</f>
        <v>0</v>
      </c>
      <c r="F93" s="1">
        <f>IF(F$4&lt;=核心参数输入!$B$9,F91*F92/10000,0)</f>
        <v>0</v>
      </c>
      <c r="G93" s="1">
        <f>IF(G$4&lt;=核心参数输入!$B$9,G91*G92/10000,0)</f>
        <v>0</v>
      </c>
      <c r="H93" s="1">
        <f>IF(H$4&lt;=核心参数输入!$B$9,H91*H92/10000,0)</f>
        <v>13030.875</v>
      </c>
      <c r="I93" s="1">
        <f>IF(I$4&lt;=核心参数输入!$B$9,I91*I92/10000,0)</f>
        <v>17374.5</v>
      </c>
      <c r="J93" s="1">
        <f>IF(J$4&lt;=核心参数输入!$B$9,J91*J92/10000,0)</f>
        <v>13030.875</v>
      </c>
      <c r="K93" s="1">
        <f>IF(K$4&lt;=核心参数输入!$B$9,K91*K92/10000,0)</f>
        <v>0</v>
      </c>
      <c r="L93" s="1">
        <f>IF(L$4&lt;=核心参数输入!$B$9,L91*L92/10000,0)</f>
        <v>0</v>
      </c>
      <c r="M93" s="1">
        <f>IF(M$4&lt;=核心参数输入!$B$9,M91*M92/10000,0)</f>
        <v>0</v>
      </c>
      <c r="N93" s="1">
        <f>IF(N$4&lt;=核心参数输入!$B$9,N91*N92/10000,0)</f>
        <v>0</v>
      </c>
      <c r="O93" s="1">
        <f>IF(O$4&lt;=核心参数输入!$B$9,O91*O92/10000,0)</f>
        <v>0</v>
      </c>
      <c r="P93" s="1">
        <f>IF(P$4&lt;=核心参数输入!$B$9,P91*P92/10000,0)</f>
        <v>0</v>
      </c>
      <c r="Q93" s="1">
        <f>IF(Q$4&lt;=核心参数输入!$B$9,Q91*Q92/10000,0)</f>
        <v>0</v>
      </c>
      <c r="R93" s="1">
        <f>IF(R$4&lt;=核心参数输入!$B$9,R91*R92/10000,0)</f>
        <v>0</v>
      </c>
      <c r="S93" s="1">
        <f>IF(S$4&lt;=核心参数输入!$B$9,S91*S92/10000,0)</f>
        <v>0</v>
      </c>
      <c r="T93" s="1">
        <f>IF(T$4&lt;=核心参数输入!$B$9,T91*T92/10000,0)</f>
        <v>0</v>
      </c>
      <c r="U93" s="1">
        <f>IF(U$4&lt;=核心参数输入!$B$9,U91*U92/10000,0)</f>
        <v>0</v>
      </c>
      <c r="V93" s="1">
        <f>IF(V$4&lt;=核心参数输入!$B$9,V91*V92/10000,0)</f>
        <v>0</v>
      </c>
      <c r="W93" s="1">
        <f>IF(W$4&lt;=核心参数输入!$B$9,W91*W92/10000,0)</f>
        <v>0</v>
      </c>
      <c r="X93" s="1">
        <f>IF(X$4&lt;=核心参数输入!$B$9,X91*X92/10000,0)</f>
        <v>0</v>
      </c>
      <c r="Y93" s="1">
        <f>IF(Y$4&lt;=核心参数输入!$B$9,Y91*Y92/10000,0)</f>
        <v>0</v>
      </c>
      <c r="Z93" s="1">
        <f>IF(Z$4&lt;=核心参数输入!$B$9,Z91*Z92/10000,0)</f>
        <v>0</v>
      </c>
      <c r="AA93" s="1">
        <f>IF(AA$4&lt;=核心参数输入!$B$9,AA91*AA92/10000,0)</f>
        <v>0</v>
      </c>
      <c r="AB93" s="1">
        <f>IF(AB$4&lt;=核心参数输入!$B$9,AB91*AB92/10000,0)</f>
        <v>0</v>
      </c>
      <c r="AC93" s="1">
        <f>IF(AC$4&lt;=核心参数输入!$B$9,AC91*AC92/10000,0)</f>
        <v>0</v>
      </c>
      <c r="AD93" s="1">
        <f>IF(AD$4&lt;=核心参数输入!$B$9,AD91*AD92/10000,0)</f>
        <v>0</v>
      </c>
      <c r="AE93" s="1">
        <f>IF(AE$4&lt;=核心参数输入!$B$9,AE91*AE92/10000,0)</f>
        <v>0</v>
      </c>
      <c r="AF93" s="1">
        <f>IF(AF$4&lt;=核心参数输入!$B$9,AF91*AF92/10000,0)</f>
        <v>0</v>
      </c>
      <c r="AG93" s="1">
        <f>IF(AG$4&lt;=核心参数输入!$B$9,AG91*AG92/10000,0)</f>
        <v>0</v>
      </c>
      <c r="AH93" s="1">
        <f>IF(AH$4&lt;=核心参数输入!$B$9,AH91*AH92/10000,0)</f>
        <v>0</v>
      </c>
    </row>
    <row r="94" spans="1:34" ht="21" customHeight="1">
      <c r="A94" s="11" t="s">
        <v>174</v>
      </c>
      <c r="B94" s="11" t="s">
        <v>30</v>
      </c>
      <c r="D94" s="10">
        <f>IF(D$4&lt;=核心参数输入!$B$9,建筑面积与开发计划!D106,0)</f>
        <v>0</v>
      </c>
      <c r="E94" s="10">
        <f>IF(E$4&lt;=核心参数输入!$B$9,建筑面积与开发计划!E106,0)</f>
        <v>0</v>
      </c>
      <c r="F94" s="10">
        <f>IF(F$4&lt;=核心参数输入!$B$9,建筑面积与开发计划!F106,0)</f>
        <v>0</v>
      </c>
      <c r="G94" s="10">
        <f>IF(G$4&lt;=核心参数输入!$B$9,建筑面积与开发计划!G106,0)</f>
        <v>0</v>
      </c>
      <c r="H94" s="10">
        <f>IF(H$4&lt;=核心参数输入!$B$9,建筑面积与开发计划!H106,0)</f>
        <v>0.4</v>
      </c>
      <c r="I94" s="10">
        <f>IF(I$4&lt;=核心参数输入!$B$9,建筑面积与开发计划!I106,0)</f>
        <v>0.6</v>
      </c>
      <c r="J94" s="10">
        <f>IF(J$4&lt;=核心参数输入!$B$9,建筑面积与开发计划!J106,0)</f>
        <v>0.75</v>
      </c>
      <c r="K94" s="10">
        <f>IF(K$4&lt;=核心参数输入!$B$9,建筑面积与开发计划!K106,0)</f>
        <v>0.8</v>
      </c>
      <c r="L94" s="10">
        <f>IF(L$4&lt;=核心参数输入!$B$9,建筑面积与开发计划!L106,0)</f>
        <v>0.8</v>
      </c>
      <c r="M94" s="10">
        <f>IF(M$4&lt;=核心参数输入!$B$9,建筑面积与开发计划!M106,0)</f>
        <v>0.8</v>
      </c>
      <c r="N94" s="10">
        <f>IF(N$4&lt;=核心参数输入!$B$9,建筑面积与开发计划!N106,0)</f>
        <v>0.8</v>
      </c>
      <c r="O94" s="10">
        <f>IF(O$4&lt;=核心参数输入!$B$9,建筑面积与开发计划!O106,0)</f>
        <v>0.8</v>
      </c>
      <c r="P94" s="10">
        <f>IF(P$4&lt;=核心参数输入!$B$9,建筑面积与开发计划!P106,0)</f>
        <v>0.8</v>
      </c>
      <c r="Q94" s="10">
        <f>IF(Q$4&lt;=核心参数输入!$B$9,建筑面积与开发计划!Q106,0)</f>
        <v>0.8</v>
      </c>
      <c r="R94" s="10">
        <f>IF(R$4&lt;=核心参数输入!$B$9,建筑面积与开发计划!R106,0)</f>
        <v>0.8</v>
      </c>
      <c r="S94" s="10">
        <f>IF(S$4&lt;=核心参数输入!$B$9,建筑面积与开发计划!S106,0)</f>
        <v>0.8</v>
      </c>
      <c r="T94" s="10">
        <f>IF(T$4&lt;=核心参数输入!$B$9,建筑面积与开发计划!T106,0)</f>
        <v>0.8</v>
      </c>
      <c r="U94" s="10">
        <f>IF(U$4&lt;=核心参数输入!$B$9,建筑面积与开发计划!U106,0)</f>
        <v>0.8</v>
      </c>
      <c r="V94" s="10">
        <f>IF(V$4&lt;=核心参数输入!$B$9,建筑面积与开发计划!V106,0)</f>
        <v>0.8</v>
      </c>
      <c r="W94" s="10">
        <f>IF(W$4&lt;=核心参数输入!$B$9,建筑面积与开发计划!W106,0)</f>
        <v>0.8</v>
      </c>
      <c r="X94" s="10">
        <f>IF(X$4&lt;=核心参数输入!$B$9,建筑面积与开发计划!X106,0)</f>
        <v>0.8</v>
      </c>
      <c r="Y94" s="10">
        <f>IF(Y$4&lt;=核心参数输入!$B$9,建筑面积与开发计划!Y106,0)</f>
        <v>0</v>
      </c>
      <c r="Z94" s="10">
        <f>IF(Z$4&lt;=核心参数输入!$B$9,建筑面积与开发计划!Z106,0)</f>
        <v>0</v>
      </c>
      <c r="AA94" s="10">
        <f>IF(AA$4&lt;=核心参数输入!$B$9,建筑面积与开发计划!AA106,0)</f>
        <v>0</v>
      </c>
      <c r="AB94" s="10">
        <f>IF(AB$4&lt;=核心参数输入!$B$9,建筑面积与开发计划!AB106,0)</f>
        <v>0</v>
      </c>
      <c r="AC94" s="10">
        <f>IF(AC$4&lt;=核心参数输入!$B$9,建筑面积与开发计划!AC106,0)</f>
        <v>0</v>
      </c>
      <c r="AD94" s="10">
        <f>IF(AD$4&lt;=核心参数输入!$B$9,建筑面积与开发计划!AD106,0)</f>
        <v>0</v>
      </c>
      <c r="AE94" s="10">
        <f>IF(AE$4&lt;=核心参数输入!$B$9,建筑面积与开发计划!AE106,0)</f>
        <v>0</v>
      </c>
      <c r="AF94" s="10">
        <f>IF(AF$4&lt;=核心参数输入!$B$9,建筑面积与开发计划!AF106,0)</f>
        <v>0</v>
      </c>
      <c r="AG94" s="10">
        <f>IF(AG$4&lt;=核心参数输入!$B$9,建筑面积与开发计划!AG106,0)</f>
        <v>0</v>
      </c>
      <c r="AH94" s="10">
        <f>IF(AH$4&lt;=核心参数输入!$B$9,建筑面积与开发计划!AH106,0)</f>
        <v>0</v>
      </c>
    </row>
    <row r="95" spans="1:34" ht="21" customHeight="1">
      <c r="A95" s="11" t="s">
        <v>175</v>
      </c>
      <c r="B95" s="11" t="s">
        <v>24</v>
      </c>
      <c r="D95" s="1">
        <f>IF(D$4&lt;=核心参数输入!$B$9,建筑面积与开发计划!D107,0)</f>
        <v>0</v>
      </c>
      <c r="E95" s="1">
        <f>IF(E$4&lt;=核心参数输入!$B$9,建筑面积与开发计划!E107,0)</f>
        <v>0</v>
      </c>
      <c r="F95" s="1">
        <f>IF(F$4&lt;=核心参数输入!$B$9,建筑面积与开发计划!F107,0)</f>
        <v>0</v>
      </c>
      <c r="G95" s="1">
        <f>IF(G$4&lt;=核心参数输入!$B$9,建筑面积与开发计划!G107,0)</f>
        <v>0</v>
      </c>
      <c r="H95" s="1">
        <f>IF(H$4&lt;=核心参数输入!$B$9,建筑面积与开发计划!H107,0)</f>
        <v>24300</v>
      </c>
      <c r="I95" s="1">
        <f>IF(I$4&lt;=核心参数输入!$B$9,建筑面积与开发计划!I107,0)</f>
        <v>36449.999999999993</v>
      </c>
      <c r="J95" s="1">
        <f>IF(J$4&lt;=核心参数输入!$B$9,建筑面积与开发计划!J107,0)</f>
        <v>45562.499999999993</v>
      </c>
      <c r="K95" s="1">
        <f>IF(K$4&lt;=核心参数输入!$B$9,建筑面积与开发计划!K107,0)</f>
        <v>48600</v>
      </c>
      <c r="L95" s="1">
        <f>IF(L$4&lt;=核心参数输入!$B$9,建筑面积与开发计划!L107,0)</f>
        <v>48600</v>
      </c>
      <c r="M95" s="1">
        <f>IF(M$4&lt;=核心参数输入!$B$9,建筑面积与开发计划!M107,0)</f>
        <v>48600</v>
      </c>
      <c r="N95" s="1">
        <f>IF(N$4&lt;=核心参数输入!$B$9,建筑面积与开发计划!N107,0)</f>
        <v>48600</v>
      </c>
      <c r="O95" s="1">
        <f>IF(O$4&lt;=核心参数输入!$B$9,建筑面积与开发计划!O107,0)</f>
        <v>48600</v>
      </c>
      <c r="P95" s="1">
        <f>IF(P$4&lt;=核心参数输入!$B$9,建筑面积与开发计划!P107,0)</f>
        <v>48600</v>
      </c>
      <c r="Q95" s="1">
        <f>IF(Q$4&lt;=核心参数输入!$B$9,建筑面积与开发计划!Q107,0)</f>
        <v>48600</v>
      </c>
      <c r="R95" s="1">
        <f>IF(R$4&lt;=核心参数输入!$B$9,建筑面积与开发计划!R107,0)</f>
        <v>48600</v>
      </c>
      <c r="S95" s="1">
        <f>IF(S$4&lt;=核心参数输入!$B$9,建筑面积与开发计划!S107,0)</f>
        <v>48600</v>
      </c>
      <c r="T95" s="1">
        <f>IF(T$4&lt;=核心参数输入!$B$9,建筑面积与开发计划!T107,0)</f>
        <v>48600</v>
      </c>
      <c r="U95" s="1">
        <f>IF(U$4&lt;=核心参数输入!$B$9,建筑面积与开发计划!U107,0)</f>
        <v>48600</v>
      </c>
      <c r="V95" s="1">
        <f>IF(V$4&lt;=核心参数输入!$B$9,建筑面积与开发计划!V107,0)</f>
        <v>48600</v>
      </c>
      <c r="W95" s="1">
        <f>IF(W$4&lt;=核心参数输入!$B$9,建筑面积与开发计划!W107,0)</f>
        <v>48600</v>
      </c>
      <c r="X95" s="1">
        <f>IF(X$4&lt;=核心参数输入!$B$9,建筑面积与开发计划!X107,0)</f>
        <v>48600</v>
      </c>
      <c r="Y95" s="1">
        <f>IF(Y$4&lt;=核心参数输入!$B$9,建筑面积与开发计划!Y107,0)</f>
        <v>0</v>
      </c>
      <c r="Z95" s="1">
        <f>IF(Z$4&lt;=核心参数输入!$B$9,建筑面积与开发计划!Z107,0)</f>
        <v>0</v>
      </c>
      <c r="AA95" s="1">
        <f>IF(AA$4&lt;=核心参数输入!$B$9,建筑面积与开发计划!AA107,0)</f>
        <v>0</v>
      </c>
      <c r="AB95" s="1">
        <f>IF(AB$4&lt;=核心参数输入!$B$9,建筑面积与开发计划!AB107,0)</f>
        <v>0</v>
      </c>
      <c r="AC95" s="1">
        <f>IF(AC$4&lt;=核心参数输入!$B$9,建筑面积与开发计划!AC107,0)</f>
        <v>0</v>
      </c>
      <c r="AD95" s="1">
        <f>IF(AD$4&lt;=核心参数输入!$B$9,建筑面积与开发计划!AD107,0)</f>
        <v>0</v>
      </c>
      <c r="AE95" s="1">
        <f>IF(AE$4&lt;=核心参数输入!$B$9,建筑面积与开发计划!AE107,0)</f>
        <v>0</v>
      </c>
      <c r="AF95" s="1">
        <f>IF(AF$4&lt;=核心参数输入!$B$9,建筑面积与开发计划!AF107,0)</f>
        <v>0</v>
      </c>
      <c r="AG95" s="1">
        <f>IF(AG$4&lt;=核心参数输入!$B$9,建筑面积与开发计划!AG107,0)</f>
        <v>0</v>
      </c>
      <c r="AH95" s="1">
        <f>IF(AH$4&lt;=核心参数输入!$B$9,建筑面积与开发计划!AH107,0)</f>
        <v>0</v>
      </c>
    </row>
    <row r="96" spans="1:34" ht="21" customHeight="1">
      <c r="A96" s="11" t="s">
        <v>176</v>
      </c>
      <c r="B96" s="11" t="s">
        <v>24</v>
      </c>
      <c r="D96" s="1">
        <f>IF(D$4&lt;=核心参数输入!$B$9,建筑面积与开发计划!D108,0)</f>
        <v>0</v>
      </c>
      <c r="E96" s="1">
        <f>IF(E$4&lt;=核心参数输入!$B$9,建筑面积与开发计划!E108,0)</f>
        <v>0</v>
      </c>
      <c r="F96" s="1">
        <f>IF(F$4&lt;=核心参数输入!$B$9,建筑面积与开发计划!F108,0)</f>
        <v>0</v>
      </c>
      <c r="G96" s="1">
        <f>IF(G$4&lt;=核心参数输入!$B$9,建筑面积与开发计划!G108,0)</f>
        <v>0</v>
      </c>
      <c r="H96" s="1">
        <f>IF(H$4&lt;=核心参数输入!$B$9,建筑面积与开发计划!H108,0)</f>
        <v>24300</v>
      </c>
      <c r="I96" s="1">
        <f>IF(I$4&lt;=核心参数输入!$B$9,建筑面积与开发计划!I108,0)</f>
        <v>12149.999999999993</v>
      </c>
      <c r="J96" s="1">
        <f>IF(J$4&lt;=核心参数输入!$B$9,建筑面积与开发计划!J108,0)</f>
        <v>9112.5</v>
      </c>
      <c r="K96" s="1">
        <f>IF(K$4&lt;=核心参数输入!$B$9,建筑面积与开发计划!K108,0)</f>
        <v>3037.5000000000073</v>
      </c>
      <c r="L96" s="1">
        <f>IF(L$4&lt;=核心参数输入!$B$9,建筑面积与开发计划!L108,0)</f>
        <v>0</v>
      </c>
      <c r="M96" s="1">
        <f>IF(M$4&lt;=核心参数输入!$B$9,建筑面积与开发计划!M108,0)</f>
        <v>0</v>
      </c>
      <c r="N96" s="1">
        <f>IF(N$4&lt;=核心参数输入!$B$9,建筑面积与开发计划!N108,0)</f>
        <v>0</v>
      </c>
      <c r="O96" s="1">
        <f>IF(O$4&lt;=核心参数输入!$B$9,建筑面积与开发计划!O108,0)</f>
        <v>0</v>
      </c>
      <c r="P96" s="1">
        <f>IF(P$4&lt;=核心参数输入!$B$9,建筑面积与开发计划!P108,0)</f>
        <v>0</v>
      </c>
      <c r="Q96" s="1">
        <f>IF(Q$4&lt;=核心参数输入!$B$9,建筑面积与开发计划!Q108,0)</f>
        <v>0</v>
      </c>
      <c r="R96" s="1">
        <f>IF(R$4&lt;=核心参数输入!$B$9,建筑面积与开发计划!R108,0)</f>
        <v>0</v>
      </c>
      <c r="S96" s="1">
        <f>IF(S$4&lt;=核心参数输入!$B$9,建筑面积与开发计划!S108,0)</f>
        <v>0</v>
      </c>
      <c r="T96" s="1">
        <f>IF(T$4&lt;=核心参数输入!$B$9,建筑面积与开发计划!T108,0)</f>
        <v>0</v>
      </c>
      <c r="U96" s="1">
        <f>IF(U$4&lt;=核心参数输入!$B$9,建筑面积与开发计划!U108,0)</f>
        <v>0</v>
      </c>
      <c r="V96" s="1">
        <f>IF(V$4&lt;=核心参数输入!$B$9,建筑面积与开发计划!V108,0)</f>
        <v>0</v>
      </c>
      <c r="W96" s="1">
        <f>IF(W$4&lt;=核心参数输入!$B$9,建筑面积与开发计划!W108,0)</f>
        <v>0</v>
      </c>
      <c r="X96" s="1">
        <f>IF(X$4&lt;=核心参数输入!$B$9,建筑面积与开发计划!X108,0)</f>
        <v>0</v>
      </c>
      <c r="Y96" s="1">
        <f>IF(Y$4&lt;=核心参数输入!$B$9,建筑面积与开发计划!Y108,0)</f>
        <v>0</v>
      </c>
      <c r="Z96" s="1">
        <f>IF(Z$4&lt;=核心参数输入!$B$9,建筑面积与开发计划!Z108,0)</f>
        <v>0</v>
      </c>
      <c r="AA96" s="1">
        <f>IF(AA$4&lt;=核心参数输入!$B$9,建筑面积与开发计划!AA108,0)</f>
        <v>0</v>
      </c>
      <c r="AB96" s="1">
        <f>IF(AB$4&lt;=核心参数输入!$B$9,建筑面积与开发计划!AB108,0)</f>
        <v>0</v>
      </c>
      <c r="AC96" s="1">
        <f>IF(AC$4&lt;=核心参数输入!$B$9,建筑面积与开发计划!AC108,0)</f>
        <v>0</v>
      </c>
      <c r="AD96" s="1">
        <f>IF(AD$4&lt;=核心参数输入!$B$9,建筑面积与开发计划!AD108,0)</f>
        <v>0</v>
      </c>
      <c r="AE96" s="1">
        <f>IF(AE$4&lt;=核心参数输入!$B$9,建筑面积与开发计划!AE108,0)</f>
        <v>0</v>
      </c>
      <c r="AF96" s="1">
        <f>IF(AF$4&lt;=核心参数输入!$B$9,建筑面积与开发计划!AF108,0)</f>
        <v>0</v>
      </c>
      <c r="AG96" s="1">
        <f>IF(AG$4&lt;=核心参数输入!$B$9,建筑面积与开发计划!AG108,0)</f>
        <v>0</v>
      </c>
      <c r="AH96" s="1">
        <f>IF(AH$4&lt;=核心参数输入!$B$9,建筑面积与开发计划!AH108,0)</f>
        <v>0</v>
      </c>
    </row>
    <row r="97" spans="1:34" ht="21" customHeight="1">
      <c r="A97" s="11" t="s">
        <v>173</v>
      </c>
      <c r="B97" s="11" t="s">
        <v>19</v>
      </c>
      <c r="D97" s="1">
        <f>IF(D$4&lt;=核心参数输入!$B$9,建筑面积与开发计划!D105,0)</f>
        <v>0</v>
      </c>
      <c r="E97" s="1">
        <f>IF(E$4&lt;=核心参数输入!$B$9,建筑面积与开发计划!E105,0)</f>
        <v>0</v>
      </c>
      <c r="F97" s="1">
        <f>IF(F$4&lt;=核心参数输入!$B$9,建筑面积与开发计划!F105,0)</f>
        <v>0</v>
      </c>
      <c r="G97" s="1">
        <f>IF(G$4&lt;=核心参数输入!$B$9,建筑面积与开发计划!G105,0)</f>
        <v>0</v>
      </c>
      <c r="H97" s="1">
        <f>IF(H$4&lt;=核心参数输入!$B$9,建筑面积与开发计划!H105,0)</f>
        <v>1</v>
      </c>
      <c r="I97" s="1">
        <f>IF(I$4&lt;=核心参数输入!$B$9,建筑面积与开发计划!I105,0)</f>
        <v>2</v>
      </c>
      <c r="J97" s="1">
        <f>IF(J$4&lt;=核心参数输入!$B$9,建筑面积与开发计划!J105,0)</f>
        <v>3</v>
      </c>
      <c r="K97" s="1">
        <f>IF(K$4&lt;=核心参数输入!$B$9,建筑面积与开发计划!K105,0)</f>
        <v>4</v>
      </c>
      <c r="L97" s="1">
        <f>IF(L$4&lt;=核心参数输入!$B$9,建筑面积与开发计划!L105,0)</f>
        <v>5</v>
      </c>
      <c r="M97" s="1">
        <f>IF(M$4&lt;=核心参数输入!$B$9,建筑面积与开发计划!M105,0)</f>
        <v>6</v>
      </c>
      <c r="N97" s="1">
        <f>IF(N$4&lt;=核心参数输入!$B$9,建筑面积与开发计划!N105,0)</f>
        <v>7</v>
      </c>
      <c r="O97" s="1">
        <f>IF(O$4&lt;=核心参数输入!$B$9,建筑面积与开发计划!O105,0)</f>
        <v>8</v>
      </c>
      <c r="P97" s="1">
        <f>IF(P$4&lt;=核心参数输入!$B$9,建筑面积与开发计划!P105,0)</f>
        <v>9</v>
      </c>
      <c r="Q97" s="1">
        <f>IF(Q$4&lt;=核心参数输入!$B$9,建筑面积与开发计划!Q105,0)</f>
        <v>10</v>
      </c>
      <c r="R97" s="1">
        <f>IF(R$4&lt;=核心参数输入!$B$9,建筑面积与开发计划!R105,0)</f>
        <v>11</v>
      </c>
      <c r="S97" s="1">
        <f>IF(S$4&lt;=核心参数输入!$B$9,建筑面积与开发计划!S105,0)</f>
        <v>12</v>
      </c>
      <c r="T97" s="1">
        <f>IF(T$4&lt;=核心参数输入!$B$9,建筑面积与开发计划!T105,0)</f>
        <v>13</v>
      </c>
      <c r="U97" s="1">
        <f>IF(U$4&lt;=核心参数输入!$B$9,建筑面积与开发计划!U105,0)</f>
        <v>14</v>
      </c>
      <c r="V97" s="1">
        <f>IF(V$4&lt;=核心参数输入!$B$9,建筑面积与开发计划!V105,0)</f>
        <v>15</v>
      </c>
      <c r="W97" s="1">
        <f>IF(W$4&lt;=核心参数输入!$B$9,建筑面积与开发计划!W105,0)</f>
        <v>16</v>
      </c>
      <c r="X97" s="1">
        <f>IF(X$4&lt;=核心参数输入!$B$9,建筑面积与开发计划!X105,0)</f>
        <v>17</v>
      </c>
      <c r="Y97" s="1">
        <f>IF(Y$4&lt;=核心参数输入!$B$9,建筑面积与开发计划!Y105,0)</f>
        <v>0</v>
      </c>
      <c r="Z97" s="1">
        <f>IF(Z$4&lt;=核心参数输入!$B$9,建筑面积与开发计划!Z105,0)</f>
        <v>0</v>
      </c>
      <c r="AA97" s="1">
        <f>IF(AA$4&lt;=核心参数输入!$B$9,建筑面积与开发计划!AA105,0)</f>
        <v>0</v>
      </c>
      <c r="AB97" s="1">
        <f>IF(AB$4&lt;=核心参数输入!$B$9,建筑面积与开发计划!AB105,0)</f>
        <v>0</v>
      </c>
      <c r="AC97" s="1">
        <f>IF(AC$4&lt;=核心参数输入!$B$9,建筑面积与开发计划!AC105,0)</f>
        <v>0</v>
      </c>
      <c r="AD97" s="1">
        <f>IF(AD$4&lt;=核心参数输入!$B$9,建筑面积与开发计划!AD105,0)</f>
        <v>0</v>
      </c>
      <c r="AE97" s="1">
        <f>IF(AE$4&lt;=核心参数输入!$B$9,建筑面积与开发计划!AE105,0)</f>
        <v>0</v>
      </c>
      <c r="AF97" s="1">
        <f>IF(AF$4&lt;=核心参数输入!$B$9,建筑面积与开发计划!AF105,0)</f>
        <v>0</v>
      </c>
      <c r="AG97" s="1">
        <f>IF(AG$4&lt;=核心参数输入!$B$9,建筑面积与开发计划!AG105,0)</f>
        <v>0</v>
      </c>
      <c r="AH97" s="1">
        <f>IF(AH$4&lt;=核心参数输入!$B$9,建筑面积与开发计划!AH105,0)</f>
        <v>0</v>
      </c>
    </row>
    <row r="98" spans="1:34" ht="21" customHeight="1">
      <c r="A98" s="11" t="s">
        <v>227</v>
      </c>
      <c r="B98" s="11" t="s">
        <v>73</v>
      </c>
      <c r="D98" s="1">
        <f>IF(D$4&lt;=核心参数输入!$B$9,IF(D97&gt;0,核心参数输入!$B$36*(1+核心参数输入!$B$37)^MAX(0,D97-1)*(1-核心参数输入!$B$79),0),0)</f>
        <v>0</v>
      </c>
      <c r="E98" s="1">
        <f>IF(E$4&lt;=核心参数输入!$B$9,IF(E97&gt;0,核心参数输入!$B$36*(1+核心参数输入!$B$37)^MAX(0,E97-1)*(1-核心参数输入!$B$79),0),0)</f>
        <v>0</v>
      </c>
      <c r="F98" s="1">
        <f>IF(F$4&lt;=核心参数输入!$B$9,IF(F97&gt;0,核心参数输入!$B$36*(1+核心参数输入!$B$37)^MAX(0,F97-1)*(1-核心参数输入!$B$79),0),0)</f>
        <v>0</v>
      </c>
      <c r="G98" s="1">
        <f>IF(G$4&lt;=核心参数输入!$B$9,IF(G97&gt;0,核心参数输入!$B$36*(1+核心参数输入!$B$37)^MAX(0,G97-1)*(1-核心参数输入!$B$79),0),0)</f>
        <v>0</v>
      </c>
      <c r="H98" s="1">
        <f>IF(H$4&lt;=核心参数输入!$B$9,IF(H97&gt;0,核心参数输入!$B$36*(1+核心参数输入!$B$37)^MAX(0,H97-1)*(1-核心参数输入!$B$79),0),0)</f>
        <v>23.400000000000002</v>
      </c>
      <c r="I98" s="1">
        <f>IF(I$4&lt;=核心参数输入!$B$9,IF(I97&gt;0,核心参数输入!$B$36*(1+核心参数输入!$B$37)^MAX(0,I97-1)*(1-核心参数输入!$B$79),0),0)</f>
        <v>23.750999999999998</v>
      </c>
      <c r="J98" s="1">
        <f>IF(J$4&lt;=核心参数输入!$B$9,IF(J97&gt;0,核心参数输入!$B$36*(1+核心参数输入!$B$37)^MAX(0,J97-1)*(1-核心参数输入!$B$79),0),0)</f>
        <v>24.107264999999995</v>
      </c>
      <c r="K98" s="1">
        <f>IF(K$4&lt;=核心参数输入!$B$9,IF(K97&gt;0,核心参数输入!$B$36*(1+核心参数输入!$B$37)^MAX(0,K97-1)*(1-核心参数输入!$B$79),0),0)</f>
        <v>24.46887397499999</v>
      </c>
      <c r="L98" s="1">
        <f>IF(L$4&lt;=核心参数输入!$B$9,IF(L97&gt;0,核心参数输入!$B$36*(1+核心参数输入!$B$37)^MAX(0,L97-1)*(1-核心参数输入!$B$79),0),0)</f>
        <v>24.835907084624989</v>
      </c>
      <c r="M98" s="1">
        <f>IF(M$4&lt;=核心参数输入!$B$9,IF(M97&gt;0,核心参数输入!$B$36*(1+核心参数输入!$B$37)^MAX(0,M97-1)*(1-核心参数输入!$B$79),0),0)</f>
        <v>25.208445690894358</v>
      </c>
      <c r="N98" s="1">
        <f>IF(N$4&lt;=核心参数输入!$B$9,IF(N97&gt;0,核心参数输入!$B$36*(1+核心参数输入!$B$37)^MAX(0,N97-1)*(1-核心参数输入!$B$79),0),0)</f>
        <v>25.58657237625777</v>
      </c>
      <c r="O98" s="1">
        <f>IF(O$4&lt;=核心参数输入!$B$9,IF(O97&gt;0,核心参数输入!$B$36*(1+核心参数输入!$B$37)^MAX(0,O97-1)*(1-核心参数输入!$B$79),0),0)</f>
        <v>25.970370961901633</v>
      </c>
      <c r="P98" s="1">
        <f>IF(P$4&lt;=核心参数输入!$B$9,IF(P97&gt;0,核心参数输入!$B$36*(1+核心参数输入!$B$37)^MAX(0,P97-1)*(1-核心参数输入!$B$79),0),0)</f>
        <v>26.359926526330153</v>
      </c>
      <c r="Q98" s="1">
        <f>IF(Q$4&lt;=核心参数输入!$B$9,IF(Q97&gt;0,核心参数输入!$B$36*(1+核心参数输入!$B$37)^MAX(0,Q97-1)*(1-核心参数输入!$B$79),0),0)</f>
        <v>26.755325424225102</v>
      </c>
      <c r="R98" s="1">
        <f>IF(R$4&lt;=核心参数输入!$B$9,IF(R97&gt;0,核心参数输入!$B$36*(1+核心参数输入!$B$37)^MAX(0,R97-1)*(1-核心参数输入!$B$79),0),0)</f>
        <v>27.156655305588476</v>
      </c>
      <c r="S98" s="1">
        <f>IF(S$4&lt;=核心参数输入!$B$9,IF(S97&gt;0,核心参数输入!$B$36*(1+核心参数输入!$B$37)^MAX(0,S97-1)*(1-核心参数输入!$B$79),0),0)</f>
        <v>27.564005135172298</v>
      </c>
      <c r="T98" s="1">
        <f>IF(T$4&lt;=核心参数输入!$B$9,IF(T97&gt;0,核心参数输入!$B$36*(1+核心参数输入!$B$37)^MAX(0,T97-1)*(1-核心参数输入!$B$79),0),0)</f>
        <v>27.977465212199878</v>
      </c>
      <c r="U98" s="1">
        <f>IF(U$4&lt;=核心参数输入!$B$9,IF(U97&gt;0,核心参数输入!$B$36*(1+核心参数输入!$B$37)^MAX(0,U97-1)*(1-核心参数输入!$B$79),0),0)</f>
        <v>28.397127190382879</v>
      </c>
      <c r="V98" s="1">
        <f>IF(V$4&lt;=核心参数输入!$B$9,IF(V97&gt;0,核心参数输入!$B$36*(1+核心参数输入!$B$37)^MAX(0,V97-1)*(1-核心参数输入!$B$79),0),0)</f>
        <v>28.823084098238613</v>
      </c>
      <c r="W98" s="1">
        <f>IF(W$4&lt;=核心参数输入!$B$9,IF(W97&gt;0,核心参数输入!$B$36*(1+核心参数输入!$B$37)^MAX(0,W97-1)*(1-核心参数输入!$B$79),0),0)</f>
        <v>29.255430359712186</v>
      </c>
      <c r="X98" s="1">
        <f>IF(X$4&lt;=核心参数输入!$B$9,IF(X97&gt;0,核心参数输入!$B$36*(1+核心参数输入!$B$37)^MAX(0,X97-1)*(1-核心参数输入!$B$79),0),0)</f>
        <v>29.694261815107865</v>
      </c>
      <c r="Y98" s="1">
        <f>IF(Y$4&lt;=核心参数输入!$B$9,IF(Y97&gt;0,核心参数输入!$B$36*(1+核心参数输入!$B$37)^MAX(0,Y97-1)*(1-核心参数输入!$B$79),0),0)</f>
        <v>0</v>
      </c>
      <c r="Z98" s="1">
        <f>IF(Z$4&lt;=核心参数输入!$B$9,IF(Z97&gt;0,核心参数输入!$B$36*(1+核心参数输入!$B$37)^MAX(0,Z97-1)*(1-核心参数输入!$B$79),0),0)</f>
        <v>0</v>
      </c>
      <c r="AA98" s="1">
        <f>IF(AA$4&lt;=核心参数输入!$B$9,IF(AA97&gt;0,核心参数输入!$B$36*(1+核心参数输入!$B$37)^MAX(0,AA97-1)*(1-核心参数输入!$B$79),0),0)</f>
        <v>0</v>
      </c>
      <c r="AB98" s="1">
        <f>IF(AB$4&lt;=核心参数输入!$B$9,IF(AB97&gt;0,核心参数输入!$B$36*(1+核心参数输入!$B$37)^MAX(0,AB97-1)*(1-核心参数输入!$B$79),0),0)</f>
        <v>0</v>
      </c>
      <c r="AC98" s="1">
        <f>IF(AC$4&lt;=核心参数输入!$B$9,IF(AC97&gt;0,核心参数输入!$B$36*(1+核心参数输入!$B$37)^MAX(0,AC97-1)*(1-核心参数输入!$B$79),0),0)</f>
        <v>0</v>
      </c>
      <c r="AD98" s="1">
        <f>IF(AD$4&lt;=核心参数输入!$B$9,IF(AD97&gt;0,核心参数输入!$B$36*(1+核心参数输入!$B$37)^MAX(0,AD97-1)*(1-核心参数输入!$B$79),0),0)</f>
        <v>0</v>
      </c>
      <c r="AE98" s="1">
        <f>IF(AE$4&lt;=核心参数输入!$B$9,IF(AE97&gt;0,核心参数输入!$B$36*(1+核心参数输入!$B$37)^MAX(0,AE97-1)*(1-核心参数输入!$B$79),0),0)</f>
        <v>0</v>
      </c>
      <c r="AF98" s="1">
        <f>IF(AF$4&lt;=核心参数输入!$B$9,IF(AF97&gt;0,核心参数输入!$B$36*(1+核心参数输入!$B$37)^MAX(0,AF97-1)*(1-核心参数输入!$B$79),0),0)</f>
        <v>0</v>
      </c>
      <c r="AG98" s="1">
        <f>IF(AG$4&lt;=核心参数输入!$B$9,IF(AG97&gt;0,核心参数输入!$B$36*(1+核心参数输入!$B$37)^MAX(0,AG97-1)*(1-核心参数输入!$B$79),0),0)</f>
        <v>0</v>
      </c>
      <c r="AH98" s="1">
        <f>IF(AH$4&lt;=核心参数输入!$B$9,IF(AH97&gt;0,核心参数输入!$B$36*(1+核心参数输入!$B$37)^MAX(0,AH97-1)*(1-核心参数输入!$B$79),0),0)</f>
        <v>0</v>
      </c>
    </row>
    <row r="99" spans="1:34" ht="21" customHeight="1">
      <c r="A99" s="11" t="s">
        <v>228</v>
      </c>
      <c r="B99" s="11" t="s">
        <v>54</v>
      </c>
      <c r="D99" s="1">
        <f>IF(D$4&lt;=核心参数输入!$B$9,D96*D98*核心参数输入!$B$42/10000,0)</f>
        <v>0</v>
      </c>
      <c r="E99" s="1">
        <f>IF(E$4&lt;=核心参数输入!$B$9,E96*E98*核心参数输入!$B$42/10000,0)</f>
        <v>0</v>
      </c>
      <c r="F99" s="1">
        <f>IF(F$4&lt;=核心参数输入!$B$9,F96*F98*核心参数输入!$B$42/10000,0)</f>
        <v>0</v>
      </c>
      <c r="G99" s="1">
        <f>IF(G$4&lt;=核心参数输入!$B$9,G96*G98*核心参数输入!$B$42/10000,0)</f>
        <v>0</v>
      </c>
      <c r="H99" s="1">
        <f>IF(H$4&lt;=核心参数输入!$B$9,H96*H98*核心参数输入!$B$42/10000,0)</f>
        <v>170.58600000000001</v>
      </c>
      <c r="I99" s="1">
        <f>IF(I$4&lt;=核心参数输入!$B$9,I96*I98*核心参数输入!$B$42/10000,0)</f>
        <v>86.572394999999943</v>
      </c>
      <c r="J99" s="1">
        <f>IF(J$4&lt;=核心参数输入!$B$9,J96*J98*核心参数输入!$B$42/10000,0)</f>
        <v>65.903235693749977</v>
      </c>
      <c r="K99" s="1">
        <f>IF(K$4&lt;=核心参数输入!$B$9,K96*K98*核心参数输入!$B$42/10000,0)</f>
        <v>22.297261409718796</v>
      </c>
      <c r="L99" s="1">
        <f>IF(L$4&lt;=核心参数输入!$B$9,L96*L98*核心参数输入!$B$42/10000,0)</f>
        <v>0</v>
      </c>
      <c r="M99" s="1">
        <f>IF(M$4&lt;=核心参数输入!$B$9,M96*M98*核心参数输入!$B$42/10000,0)</f>
        <v>0</v>
      </c>
      <c r="N99" s="1">
        <f>IF(N$4&lt;=核心参数输入!$B$9,N96*N98*核心参数输入!$B$42/10000,0)</f>
        <v>0</v>
      </c>
      <c r="O99" s="1">
        <f>IF(O$4&lt;=核心参数输入!$B$9,O96*O98*核心参数输入!$B$42/10000,0)</f>
        <v>0</v>
      </c>
      <c r="P99" s="1">
        <f>IF(P$4&lt;=核心参数输入!$B$9,P96*P98*核心参数输入!$B$42/10000,0)</f>
        <v>0</v>
      </c>
      <c r="Q99" s="1">
        <f>IF(Q$4&lt;=核心参数输入!$B$9,Q96*Q98*核心参数输入!$B$42/10000,0)</f>
        <v>0</v>
      </c>
      <c r="R99" s="1">
        <f>IF(R$4&lt;=核心参数输入!$B$9,R96*R98*核心参数输入!$B$42/10000,0)</f>
        <v>0</v>
      </c>
      <c r="S99" s="1">
        <f>IF(S$4&lt;=核心参数输入!$B$9,S96*S98*核心参数输入!$B$42/10000,0)</f>
        <v>0</v>
      </c>
      <c r="T99" s="1">
        <f>IF(T$4&lt;=核心参数输入!$B$9,T96*T98*核心参数输入!$B$42/10000,0)</f>
        <v>0</v>
      </c>
      <c r="U99" s="1">
        <f>IF(U$4&lt;=核心参数输入!$B$9,U96*U98*核心参数输入!$B$42/10000,0)</f>
        <v>0</v>
      </c>
      <c r="V99" s="1">
        <f>IF(V$4&lt;=核心参数输入!$B$9,V96*V98*核心参数输入!$B$42/10000,0)</f>
        <v>0</v>
      </c>
      <c r="W99" s="1">
        <f>IF(W$4&lt;=核心参数输入!$B$9,W96*W98*核心参数输入!$B$42/10000,0)</f>
        <v>0</v>
      </c>
      <c r="X99" s="1">
        <f>IF(X$4&lt;=核心参数输入!$B$9,X96*X98*核心参数输入!$B$42/10000,0)</f>
        <v>0</v>
      </c>
      <c r="Y99" s="1">
        <f>IF(Y$4&lt;=核心参数输入!$B$9,Y96*Y98*核心参数输入!$B$42/10000,0)</f>
        <v>0</v>
      </c>
      <c r="Z99" s="1">
        <f>IF(Z$4&lt;=核心参数输入!$B$9,Z96*Z98*核心参数输入!$B$42/10000,0)</f>
        <v>0</v>
      </c>
      <c r="AA99" s="1">
        <f>IF(AA$4&lt;=核心参数输入!$B$9,AA96*AA98*核心参数输入!$B$42/10000,0)</f>
        <v>0</v>
      </c>
      <c r="AB99" s="1">
        <f>IF(AB$4&lt;=核心参数输入!$B$9,AB96*AB98*核心参数输入!$B$42/10000,0)</f>
        <v>0</v>
      </c>
      <c r="AC99" s="1">
        <f>IF(AC$4&lt;=核心参数输入!$B$9,AC96*AC98*核心参数输入!$B$42/10000,0)</f>
        <v>0</v>
      </c>
      <c r="AD99" s="1">
        <f>IF(AD$4&lt;=核心参数输入!$B$9,AD96*AD98*核心参数输入!$B$42/10000,0)</f>
        <v>0</v>
      </c>
      <c r="AE99" s="1">
        <f>IF(AE$4&lt;=核心参数输入!$B$9,AE96*AE98*核心参数输入!$B$42/10000,0)</f>
        <v>0</v>
      </c>
      <c r="AF99" s="1">
        <f>IF(AF$4&lt;=核心参数输入!$B$9,AF96*AF98*核心参数输入!$B$42/10000,0)</f>
        <v>0</v>
      </c>
      <c r="AG99" s="1">
        <f>IF(AG$4&lt;=核心参数输入!$B$9,AG96*AG98*核心参数输入!$B$42/10000,0)</f>
        <v>0</v>
      </c>
      <c r="AH99" s="1">
        <f>IF(AH$4&lt;=核心参数输入!$B$9,AH96*AH98*核心参数输入!$B$42/10000,0)</f>
        <v>0</v>
      </c>
    </row>
    <row r="100" spans="1:34" ht="21" customHeight="1">
      <c r="A100" s="11" t="s">
        <v>229</v>
      </c>
      <c r="B100" s="11" t="s">
        <v>54</v>
      </c>
      <c r="D100" s="1">
        <f>IF(D$4&lt;=核心参数输入!$B$9,(D95*D98*12/10000-D99)*核心参数输入!$B$43,0)</f>
        <v>0</v>
      </c>
      <c r="E100" s="1">
        <f>IF(E$4&lt;=核心参数输入!$B$9,(E95*E98*12/10000-E99)*核心参数输入!$B$43,0)</f>
        <v>0</v>
      </c>
      <c r="F100" s="1">
        <f>IF(F$4&lt;=核心参数输入!$B$9,(F95*F98*12/10000-F99)*核心参数输入!$B$43,0)</f>
        <v>0</v>
      </c>
      <c r="G100" s="1">
        <f>IF(G$4&lt;=核心参数输入!$B$9,(G95*G98*12/10000-G99)*核心参数输入!$B$43,0)</f>
        <v>0</v>
      </c>
      <c r="H100" s="1">
        <f>IF(H$4&lt;=核心参数输入!$B$9,(H95*H98*12/10000-H99)*核心参数输入!$B$43,0)</f>
        <v>501.52284000000003</v>
      </c>
      <c r="I100" s="1">
        <f>IF(I$4&lt;=核心参数输入!$B$9,(I95*I98*12/10000-I99)*核心参数输入!$B$43,0)</f>
        <v>933.25041809999971</v>
      </c>
      <c r="J100" s="1">
        <f>IF(J$4&lt;=核心参数输入!$B$9,(J95*J98*12/10000-J99)*核心参数输入!$B$43,0)</f>
        <v>1227.1182486176244</v>
      </c>
      <c r="K100" s="1">
        <f>IF(K$4&lt;=核心参数输入!$B$9,(K95*K98*12/10000-K99)*核心参数输入!$B$43,0)</f>
        <v>1376.6329194360349</v>
      </c>
      <c r="L100" s="1">
        <f>IF(L$4&lt;=核心参数输入!$B$9,(L95*L98*12/10000-L99)*核心参数输入!$B$43,0)</f>
        <v>1419.4614991518226</v>
      </c>
      <c r="M100" s="1">
        <f>IF(M$4&lt;=核心参数输入!$B$9,(M95*M98*12/10000-M99)*核心参数输入!$B$43,0)</f>
        <v>1440.7534216391</v>
      </c>
      <c r="N100" s="1">
        <f>IF(N$4&lt;=核心参数输入!$B$9,(N95*N98*12/10000-N99)*核心参数输入!$B$43,0)</f>
        <v>1462.3647229636861</v>
      </c>
      <c r="O100" s="1">
        <f>IF(O$4&lt;=核心参数输入!$B$9,(O95*O98*12/10000-O99)*核心参数输入!$B$43,0)</f>
        <v>1484.3001938081413</v>
      </c>
      <c r="P100" s="1">
        <f>IF(P$4&lt;=核心参数输入!$B$9,(P95*P98*12/10000-P99)*核心参数输入!$B$43,0)</f>
        <v>1506.5646967152629</v>
      </c>
      <c r="Q100" s="1">
        <f>IF(Q$4&lt;=核心参数输入!$B$9,(Q95*Q98*12/10000-Q99)*核心参数输入!$B$43,0)</f>
        <v>1529.1631671659918</v>
      </c>
      <c r="R100" s="1">
        <f>IF(R$4&lt;=核心参数输入!$B$9,(R95*R98*12/10000-R99)*核心参数输入!$B$43,0)</f>
        <v>1552.1006146734815</v>
      </c>
      <c r="S100" s="1">
        <f>IF(S$4&lt;=核心参数输入!$B$9,(S95*S98*12/10000-S99)*核心参数输入!$B$43,0)</f>
        <v>1575.3821238935834</v>
      </c>
      <c r="T100" s="1">
        <f>IF(T$4&lt;=核心参数输入!$B$9,(T95*T98*12/10000-T99)*核心参数输入!$B$43,0)</f>
        <v>1599.0128557519868</v>
      </c>
      <c r="U100" s="1">
        <f>IF(U$4&lt;=核心参数输入!$B$9,(U95*U98*12/10000-U99)*核心参数输入!$B$43,0)</f>
        <v>1622.9980485882668</v>
      </c>
      <c r="V100" s="1">
        <f>IF(V$4&lt;=核心参数输入!$B$9,(V95*V98*12/10000-V99)*核心参数输入!$B$43,0)</f>
        <v>1647.3430193170902</v>
      </c>
      <c r="W100" s="1">
        <f>IF(W$4&lt;=核心参数输入!$B$9,(W95*W98*12/10000-W99)*核心参数输入!$B$43,0)</f>
        <v>1672.0531646068464</v>
      </c>
      <c r="X100" s="1">
        <f>IF(X$4&lt;=核心参数输入!$B$9,(X95*X98*12/10000-X99)*核心参数输入!$B$43,0)</f>
        <v>1697.1339620759488</v>
      </c>
      <c r="Y100" s="1">
        <f>IF(Y$4&lt;=核心参数输入!$B$9,(Y95*Y98*12/10000-Y99)*核心参数输入!$B$43,0)</f>
        <v>0</v>
      </c>
      <c r="Z100" s="1">
        <f>IF(Z$4&lt;=核心参数输入!$B$9,(Z95*Z98*12/10000-Z99)*核心参数输入!$B$43,0)</f>
        <v>0</v>
      </c>
      <c r="AA100" s="1">
        <f>IF(AA$4&lt;=核心参数输入!$B$9,(AA95*AA98*12/10000-AA99)*核心参数输入!$B$43,0)</f>
        <v>0</v>
      </c>
      <c r="AB100" s="1">
        <f>IF(AB$4&lt;=核心参数输入!$B$9,(AB95*AB98*12/10000-AB99)*核心参数输入!$B$43,0)</f>
        <v>0</v>
      </c>
      <c r="AC100" s="1">
        <f>IF(AC$4&lt;=核心参数输入!$B$9,(AC95*AC98*12/10000-AC99)*核心参数输入!$B$43,0)</f>
        <v>0</v>
      </c>
      <c r="AD100" s="1">
        <f>IF(AD$4&lt;=核心参数输入!$B$9,(AD95*AD98*12/10000-AD99)*核心参数输入!$B$43,0)</f>
        <v>0</v>
      </c>
      <c r="AE100" s="1">
        <f>IF(AE$4&lt;=核心参数输入!$B$9,(AE95*AE98*12/10000-AE99)*核心参数输入!$B$43,0)</f>
        <v>0</v>
      </c>
      <c r="AF100" s="1">
        <f>IF(AF$4&lt;=核心参数输入!$B$9,(AF95*AF98*12/10000-AF99)*核心参数输入!$B$43,0)</f>
        <v>0</v>
      </c>
      <c r="AG100" s="1">
        <f>IF(AG$4&lt;=核心参数输入!$B$9,(AG95*AG98*12/10000-AG99)*核心参数输入!$B$43,0)</f>
        <v>0</v>
      </c>
      <c r="AH100" s="1">
        <f>IF(AH$4&lt;=核心参数输入!$B$9,(AH95*AH98*12/10000-AH99)*核心参数输入!$B$43,0)</f>
        <v>0</v>
      </c>
    </row>
    <row r="101" spans="1:34" ht="21" customHeight="1">
      <c r="A101" s="11" t="s">
        <v>230</v>
      </c>
      <c r="B101" s="11" t="s">
        <v>54</v>
      </c>
      <c r="D101" s="1">
        <f>IF(D$4&lt;=核心参数输入!$B$9,D100*核心参数输入!$B$44,0)</f>
        <v>0</v>
      </c>
      <c r="E101" s="1">
        <f>IF(E$4&lt;=核心参数输入!$B$9,E100*核心参数输入!$B$44,0)</f>
        <v>0</v>
      </c>
      <c r="F101" s="1">
        <f>IF(F$4&lt;=核心参数输入!$B$9,F100*核心参数输入!$B$44,0)</f>
        <v>0</v>
      </c>
      <c r="G101" s="1">
        <f>IF(G$4&lt;=核心参数输入!$B$9,G100*核心参数输入!$B$44,0)</f>
        <v>0</v>
      </c>
      <c r="H101" s="1">
        <f>IF(H$4&lt;=核心参数输入!$B$9,H100*核心参数输入!$B$44,0)</f>
        <v>25.076142000000004</v>
      </c>
      <c r="I101" s="1">
        <f>IF(I$4&lt;=核心参数输入!$B$9,I100*核心参数输入!$B$44,0)</f>
        <v>46.662520904999987</v>
      </c>
      <c r="J101" s="1">
        <f>IF(J$4&lt;=核心参数输入!$B$9,J100*核心参数输入!$B$44,0)</f>
        <v>61.355912430881226</v>
      </c>
      <c r="K101" s="1">
        <f>IF(K$4&lt;=核心参数输入!$B$9,K100*核心参数输入!$B$44,0)</f>
        <v>68.831645971801748</v>
      </c>
      <c r="L101" s="1">
        <f>IF(L$4&lt;=核心参数输入!$B$9,L100*核心参数输入!$B$44,0)</f>
        <v>70.973074957591137</v>
      </c>
      <c r="M101" s="1">
        <f>IF(M$4&lt;=核心参数输入!$B$9,M100*核心参数输入!$B$44,0)</f>
        <v>72.037671081954997</v>
      </c>
      <c r="N101" s="1">
        <f>IF(N$4&lt;=核心参数输入!$B$9,N100*核心参数输入!$B$44,0)</f>
        <v>73.118236148184309</v>
      </c>
      <c r="O101" s="1">
        <f>IF(O$4&lt;=核心参数输入!$B$9,O100*核心参数输入!$B$44,0)</f>
        <v>74.215009690407072</v>
      </c>
      <c r="P101" s="1">
        <f>IF(P$4&lt;=核心参数输入!$B$9,P100*核心参数输入!$B$44,0)</f>
        <v>75.328234835763155</v>
      </c>
      <c r="Q101" s="1">
        <f>IF(Q$4&lt;=核心参数输入!$B$9,Q100*核心参数输入!$B$44,0)</f>
        <v>76.458158358299599</v>
      </c>
      <c r="R101" s="1">
        <f>IF(R$4&lt;=核心参数输入!$B$9,R100*核心参数输入!$B$44,0)</f>
        <v>77.605030733674084</v>
      </c>
      <c r="S101" s="1">
        <f>IF(S$4&lt;=核心参数输入!$B$9,S100*核心参数输入!$B$44,0)</f>
        <v>78.769106194679182</v>
      </c>
      <c r="T101" s="1">
        <f>IF(T$4&lt;=核心参数输入!$B$9,T100*核心参数输入!$B$44,0)</f>
        <v>79.95064278759935</v>
      </c>
      <c r="U101" s="1">
        <f>IF(U$4&lt;=核心参数输入!$B$9,U100*核心参数输入!$B$44,0)</f>
        <v>81.149902429413345</v>
      </c>
      <c r="V101" s="1">
        <f>IF(V$4&lt;=核心参数输入!$B$9,V100*核心参数输入!$B$44,0)</f>
        <v>82.36715096585452</v>
      </c>
      <c r="W101" s="1">
        <f>IF(W$4&lt;=核心参数输入!$B$9,W100*核心参数输入!$B$44,0)</f>
        <v>83.602658230342328</v>
      </c>
      <c r="X101" s="1">
        <f>IF(X$4&lt;=核心参数输入!$B$9,X100*核心参数输入!$B$44,0)</f>
        <v>84.856698103797441</v>
      </c>
      <c r="Y101" s="1">
        <f>IF(Y$4&lt;=核心参数输入!$B$9,Y100*核心参数输入!$B$44,0)</f>
        <v>0</v>
      </c>
      <c r="Z101" s="1">
        <f>IF(Z$4&lt;=核心参数输入!$B$9,Z100*核心参数输入!$B$44,0)</f>
        <v>0</v>
      </c>
      <c r="AA101" s="1">
        <f>IF(AA$4&lt;=核心参数输入!$B$9,AA100*核心参数输入!$B$44,0)</f>
        <v>0</v>
      </c>
      <c r="AB101" s="1">
        <f>IF(AB$4&lt;=核心参数输入!$B$9,AB100*核心参数输入!$B$44,0)</f>
        <v>0</v>
      </c>
      <c r="AC101" s="1">
        <f>IF(AC$4&lt;=核心参数输入!$B$9,AC100*核心参数输入!$B$44,0)</f>
        <v>0</v>
      </c>
      <c r="AD101" s="1">
        <f>IF(AD$4&lt;=核心参数输入!$B$9,AD100*核心参数输入!$B$44,0)</f>
        <v>0</v>
      </c>
      <c r="AE101" s="1">
        <f>IF(AE$4&lt;=核心参数输入!$B$9,AE100*核心参数输入!$B$44,0)</f>
        <v>0</v>
      </c>
      <c r="AF101" s="1">
        <f>IF(AF$4&lt;=核心参数输入!$B$9,AF100*核心参数输入!$B$44,0)</f>
        <v>0</v>
      </c>
      <c r="AG101" s="1">
        <f>IF(AG$4&lt;=核心参数输入!$B$9,AG100*核心参数输入!$B$44,0)</f>
        <v>0</v>
      </c>
      <c r="AH101" s="1">
        <f>IF(AH$4&lt;=核心参数输入!$B$9,AH100*核心参数输入!$B$44,0)</f>
        <v>0</v>
      </c>
    </row>
    <row r="102" spans="1:34" ht="21" customHeight="1">
      <c r="A102" s="11" t="s">
        <v>231</v>
      </c>
      <c r="B102" s="11" t="s">
        <v>54</v>
      </c>
      <c r="D102" s="1">
        <f>IF(D$4&lt;=核心参数输入!$B$9,SUM(D100:D101),0)</f>
        <v>0</v>
      </c>
      <c r="E102" s="1">
        <f>IF(E$4&lt;=核心参数输入!$B$9,SUM(E100:E101),0)</f>
        <v>0</v>
      </c>
      <c r="F102" s="1">
        <f>IF(F$4&lt;=核心参数输入!$B$9,SUM(F100:F101),0)</f>
        <v>0</v>
      </c>
      <c r="G102" s="1">
        <f>IF(G$4&lt;=核心参数输入!$B$9,SUM(G100:G101),0)</f>
        <v>0</v>
      </c>
      <c r="H102" s="1">
        <f>IF(H$4&lt;=核心参数输入!$B$9,SUM(H100:H101),0)</f>
        <v>526.59898199999998</v>
      </c>
      <c r="I102" s="1">
        <f>IF(I$4&lt;=核心参数输入!$B$9,SUM(I100:I101),0)</f>
        <v>979.91293900499966</v>
      </c>
      <c r="J102" s="1">
        <f>IF(J$4&lt;=核心参数输入!$B$9,SUM(J100:J101),0)</f>
        <v>1288.4741610485057</v>
      </c>
      <c r="K102" s="1">
        <f>IF(K$4&lt;=核心参数输入!$B$9,SUM(K100:K101),0)</f>
        <v>1445.4645654078365</v>
      </c>
      <c r="L102" s="1">
        <f>IF(L$4&lt;=核心参数输入!$B$9,SUM(L100:L101),0)</f>
        <v>1490.4345741094137</v>
      </c>
      <c r="M102" s="1">
        <f>IF(M$4&lt;=核心参数输入!$B$9,SUM(M100:M101),0)</f>
        <v>1512.7910927210551</v>
      </c>
      <c r="N102" s="1">
        <f>IF(N$4&lt;=核心参数输入!$B$9,SUM(N100:N101),0)</f>
        <v>1535.4829591118703</v>
      </c>
      <c r="O102" s="1">
        <f>IF(O$4&lt;=核心参数输入!$B$9,SUM(O100:O101),0)</f>
        <v>1558.5152034985483</v>
      </c>
      <c r="P102" s="1">
        <f>IF(P$4&lt;=核心参数输入!$B$9,SUM(P100:P101),0)</f>
        <v>1581.8929315510261</v>
      </c>
      <c r="Q102" s="1">
        <f>IF(Q$4&lt;=核心参数输入!$B$9,SUM(Q100:Q101),0)</f>
        <v>1605.6213255242915</v>
      </c>
      <c r="R102" s="1">
        <f>IF(R$4&lt;=核心参数输入!$B$9,SUM(R100:R101),0)</f>
        <v>1629.7056454071555</v>
      </c>
      <c r="S102" s="1">
        <f>IF(S$4&lt;=核心参数输入!$B$9,SUM(S100:S101),0)</f>
        <v>1654.1512300882625</v>
      </c>
      <c r="T102" s="1">
        <f>IF(T$4&lt;=核心参数输入!$B$9,SUM(T100:T101),0)</f>
        <v>1678.963498539586</v>
      </c>
      <c r="U102" s="1">
        <f>IF(U$4&lt;=核心参数输入!$B$9,SUM(U100:U101),0)</f>
        <v>1704.14795101768</v>
      </c>
      <c r="V102" s="1">
        <f>IF(V$4&lt;=核心参数输入!$B$9,SUM(V100:V101),0)</f>
        <v>1729.7101702829448</v>
      </c>
      <c r="W102" s="1">
        <f>IF(W$4&lt;=核心参数输入!$B$9,SUM(W100:W101),0)</f>
        <v>1755.6558228371887</v>
      </c>
      <c r="X102" s="1">
        <f>IF(X$4&lt;=核心参数输入!$B$9,SUM(X100:X101),0)</f>
        <v>1781.9906601797463</v>
      </c>
      <c r="Y102" s="1">
        <f>IF(Y$4&lt;=核心参数输入!$B$9,SUM(Y100:Y101),0)</f>
        <v>0</v>
      </c>
      <c r="Z102" s="1">
        <f>IF(Z$4&lt;=核心参数输入!$B$9,SUM(Z100:Z101),0)</f>
        <v>0</v>
      </c>
      <c r="AA102" s="1">
        <f>IF(AA$4&lt;=核心参数输入!$B$9,SUM(AA100:AA101),0)</f>
        <v>0</v>
      </c>
      <c r="AB102" s="1">
        <f>IF(AB$4&lt;=核心参数输入!$B$9,SUM(AB100:AB101),0)</f>
        <v>0</v>
      </c>
      <c r="AC102" s="1">
        <f>IF(AC$4&lt;=核心参数输入!$B$9,SUM(AC100:AC101),0)</f>
        <v>0</v>
      </c>
      <c r="AD102" s="1">
        <f>IF(AD$4&lt;=核心参数输入!$B$9,SUM(AD100:AD101),0)</f>
        <v>0</v>
      </c>
      <c r="AE102" s="1">
        <f>IF(AE$4&lt;=核心参数输入!$B$9,SUM(AE100:AE101),0)</f>
        <v>0</v>
      </c>
      <c r="AF102" s="1">
        <f>IF(AF$4&lt;=核心参数输入!$B$9,SUM(AF100:AF101),0)</f>
        <v>0</v>
      </c>
      <c r="AG102" s="1">
        <f>IF(AG$4&lt;=核心参数输入!$B$9,SUM(AG100:AG101),0)</f>
        <v>0</v>
      </c>
      <c r="AH102" s="1">
        <f>IF(AH$4&lt;=核心参数输入!$B$9,SUM(AH100:AH101),0)</f>
        <v>0</v>
      </c>
    </row>
    <row r="103" spans="1:34" ht="21" customHeight="1">
      <c r="A103" s="11" t="s">
        <v>232</v>
      </c>
      <c r="B103" s="11" t="s">
        <v>54</v>
      </c>
      <c r="D103" s="1">
        <f>IF(D$4&lt;=核心参数输入!$B$9,D93+D102,0)</f>
        <v>0</v>
      </c>
      <c r="E103" s="1">
        <f>IF(E$4&lt;=核心参数输入!$B$9,E93+E102,0)</f>
        <v>0</v>
      </c>
      <c r="F103" s="1">
        <f>IF(F$4&lt;=核心参数输入!$B$9,F93+F102,0)</f>
        <v>0</v>
      </c>
      <c r="G103" s="1">
        <f>IF(G$4&lt;=核心参数输入!$B$9,G93+G102,0)</f>
        <v>0</v>
      </c>
      <c r="H103" s="1">
        <f>IF(H$4&lt;=核心参数输入!$B$9,H93+H102,0)</f>
        <v>13557.473982</v>
      </c>
      <c r="I103" s="1">
        <f>IF(I$4&lt;=核心参数输入!$B$9,I93+I102,0)</f>
        <v>18354.412939005</v>
      </c>
      <c r="J103" s="1">
        <f>IF(J$4&lt;=核心参数输入!$B$9,J93+J102,0)</f>
        <v>14319.349161048505</v>
      </c>
      <c r="K103" s="1">
        <f>IF(K$4&lt;=核心参数输入!$B$9,K93+K102,0)</f>
        <v>1445.4645654078365</v>
      </c>
      <c r="L103" s="1">
        <f>IF(L$4&lt;=核心参数输入!$B$9,L93+L102,0)</f>
        <v>1490.4345741094137</v>
      </c>
      <c r="M103" s="1">
        <f>IF(M$4&lt;=核心参数输入!$B$9,M93+M102,0)</f>
        <v>1512.7910927210551</v>
      </c>
      <c r="N103" s="1">
        <f>IF(N$4&lt;=核心参数输入!$B$9,N93+N102,0)</f>
        <v>1535.4829591118703</v>
      </c>
      <c r="O103" s="1">
        <f>IF(O$4&lt;=核心参数输入!$B$9,O93+O102,0)</f>
        <v>1558.5152034985483</v>
      </c>
      <c r="P103" s="1">
        <f>IF(P$4&lt;=核心参数输入!$B$9,P93+P102,0)</f>
        <v>1581.8929315510261</v>
      </c>
      <c r="Q103" s="1">
        <f>IF(Q$4&lt;=核心参数输入!$B$9,Q93+Q102,0)</f>
        <v>1605.6213255242915</v>
      </c>
      <c r="R103" s="1">
        <f>IF(R$4&lt;=核心参数输入!$B$9,R93+R102,0)</f>
        <v>1629.7056454071555</v>
      </c>
      <c r="S103" s="1">
        <f>IF(S$4&lt;=核心参数输入!$B$9,S93+S102,0)</f>
        <v>1654.1512300882625</v>
      </c>
      <c r="T103" s="1">
        <f>IF(T$4&lt;=核心参数输入!$B$9,T93+T102,0)</f>
        <v>1678.963498539586</v>
      </c>
      <c r="U103" s="1">
        <f>IF(U$4&lt;=核心参数输入!$B$9,U93+U102,0)</f>
        <v>1704.14795101768</v>
      </c>
      <c r="V103" s="1">
        <f>IF(V$4&lt;=核心参数输入!$B$9,V93+V102,0)</f>
        <v>1729.7101702829448</v>
      </c>
      <c r="W103" s="1">
        <f>IF(W$4&lt;=核心参数输入!$B$9,W93+W102,0)</f>
        <v>1755.6558228371887</v>
      </c>
      <c r="X103" s="1">
        <f>IF(X$4&lt;=核心参数输入!$B$9,X93+X102,0)</f>
        <v>1781.9906601797463</v>
      </c>
      <c r="Y103" s="1">
        <f>IF(Y$4&lt;=核心参数输入!$B$9,Y93+Y102,0)</f>
        <v>0</v>
      </c>
      <c r="Z103" s="1">
        <f>IF(Z$4&lt;=核心参数输入!$B$9,Z93+Z102,0)</f>
        <v>0</v>
      </c>
      <c r="AA103" s="1">
        <f>IF(AA$4&lt;=核心参数输入!$B$9,AA93+AA102,0)</f>
        <v>0</v>
      </c>
      <c r="AB103" s="1">
        <f>IF(AB$4&lt;=核心参数输入!$B$9,AB93+AB102,0)</f>
        <v>0</v>
      </c>
      <c r="AC103" s="1">
        <f>IF(AC$4&lt;=核心参数输入!$B$9,AC93+AC102,0)</f>
        <v>0</v>
      </c>
      <c r="AD103" s="1">
        <f>IF(AD$4&lt;=核心参数输入!$B$9,AD93+AD102,0)</f>
        <v>0</v>
      </c>
      <c r="AE103" s="1">
        <f>IF(AE$4&lt;=核心参数输入!$B$9,AE93+AE102,0)</f>
        <v>0</v>
      </c>
      <c r="AF103" s="1">
        <f>IF(AF$4&lt;=核心参数输入!$B$9,AF93+AF102,0)</f>
        <v>0</v>
      </c>
      <c r="AG103" s="1">
        <f>IF(AG$4&lt;=核心参数输入!$B$9,AG93+AG102,0)</f>
        <v>0</v>
      </c>
      <c r="AH103" s="1">
        <f>IF(AH$4&lt;=核心参数输入!$B$9,AH93+AH102,0)</f>
        <v>0</v>
      </c>
    </row>
    <row r="104" spans="1:34" ht="21" customHeight="1">
      <c r="A104" s="11" t="s">
        <v>233</v>
      </c>
      <c r="B104" s="11" t="s">
        <v>54</v>
      </c>
      <c r="D104" s="1">
        <f>IF(D$4&lt;=核心参数输入!$B$9,IF(AND(核心参数输入!$B$64=1,D$4=核心参数输入!$B$9),核心参数输入!$B$65,0),0)</f>
        <v>0</v>
      </c>
      <c r="E104" s="1">
        <f>IF(E$4&lt;=核心参数输入!$B$9,IF(AND(核心参数输入!$B$64=1,E$4=核心参数输入!$B$9),核心参数输入!$B$65,0),0)</f>
        <v>0</v>
      </c>
      <c r="F104" s="1">
        <f>IF(F$4&lt;=核心参数输入!$B$9,IF(AND(核心参数输入!$B$64=1,F$4=核心参数输入!$B$9),核心参数输入!$B$65,0),0)</f>
        <v>0</v>
      </c>
      <c r="G104" s="1">
        <f>IF(G$4&lt;=核心参数输入!$B$9,IF(AND(核心参数输入!$B$64=1,G$4=核心参数输入!$B$9),核心参数输入!$B$65,0),0)</f>
        <v>0</v>
      </c>
      <c r="H104" s="1">
        <f>IF(H$4&lt;=核心参数输入!$B$9,IF(AND(核心参数输入!$B$64=1,H$4=核心参数输入!$B$9),核心参数输入!$B$65,0),0)</f>
        <v>0</v>
      </c>
      <c r="I104" s="1">
        <f>IF(I$4&lt;=核心参数输入!$B$9,IF(AND(核心参数输入!$B$64=1,I$4=核心参数输入!$B$9),核心参数输入!$B$65,0),0)</f>
        <v>0</v>
      </c>
      <c r="J104" s="1">
        <f>IF(J$4&lt;=核心参数输入!$B$9,IF(AND(核心参数输入!$B$64=1,J$4=核心参数输入!$B$9),核心参数输入!$B$65,0),0)</f>
        <v>0</v>
      </c>
      <c r="K104" s="1">
        <f>IF(K$4&lt;=核心参数输入!$B$9,IF(AND(核心参数输入!$B$64=1,K$4=核心参数输入!$B$9),核心参数输入!$B$65,0),0)</f>
        <v>0</v>
      </c>
      <c r="L104" s="1">
        <f>IF(L$4&lt;=核心参数输入!$B$9,IF(AND(核心参数输入!$B$64=1,L$4=核心参数输入!$B$9),核心参数输入!$B$65,0),0)</f>
        <v>0</v>
      </c>
      <c r="M104" s="1">
        <f>IF(M$4&lt;=核心参数输入!$B$9,IF(AND(核心参数输入!$B$64=1,M$4=核心参数输入!$B$9),核心参数输入!$B$65,0),0)</f>
        <v>0</v>
      </c>
      <c r="N104" s="1">
        <f>IF(N$4&lt;=核心参数输入!$B$9,IF(AND(核心参数输入!$B$64=1,N$4=核心参数输入!$B$9),核心参数输入!$B$65,0),0)</f>
        <v>0</v>
      </c>
      <c r="O104" s="1">
        <f>IF(O$4&lt;=核心参数输入!$B$9,IF(AND(核心参数输入!$B$64=1,O$4=核心参数输入!$B$9),核心参数输入!$B$65,0),0)</f>
        <v>0</v>
      </c>
      <c r="P104" s="1">
        <f>IF(P$4&lt;=核心参数输入!$B$9,IF(AND(核心参数输入!$B$64=1,P$4=核心参数输入!$B$9),核心参数输入!$B$65,0),0)</f>
        <v>0</v>
      </c>
      <c r="Q104" s="1">
        <f>IF(Q$4&lt;=核心参数输入!$B$9,IF(AND(核心参数输入!$B$64=1,Q$4=核心参数输入!$B$9),核心参数输入!$B$65,0),0)</f>
        <v>0</v>
      </c>
      <c r="R104" s="1">
        <f>IF(R$4&lt;=核心参数输入!$B$9,IF(AND(核心参数输入!$B$64=1,R$4=核心参数输入!$B$9),核心参数输入!$B$65,0),0)</f>
        <v>0</v>
      </c>
      <c r="S104" s="1">
        <f>IF(S$4&lt;=核心参数输入!$B$9,IF(AND(核心参数输入!$B$64=1,S$4=核心参数输入!$B$9),核心参数输入!$B$65,0),0)</f>
        <v>0</v>
      </c>
      <c r="T104" s="1">
        <f>IF(T$4&lt;=核心参数输入!$B$9,IF(AND(核心参数输入!$B$64=1,T$4=核心参数输入!$B$9),核心参数输入!$B$65,0),0)</f>
        <v>0</v>
      </c>
      <c r="U104" s="1">
        <f>IF(U$4&lt;=核心参数输入!$B$9,IF(AND(核心参数输入!$B$64=1,U$4=核心参数输入!$B$9),核心参数输入!$B$65,0),0)</f>
        <v>0</v>
      </c>
      <c r="V104" s="1">
        <f>IF(V$4&lt;=核心参数输入!$B$9,IF(AND(核心参数输入!$B$64=1,V$4=核心参数输入!$B$9),核心参数输入!$B$65,0),0)</f>
        <v>0</v>
      </c>
      <c r="W104" s="1">
        <f>IF(W$4&lt;=核心参数输入!$B$9,IF(AND(核心参数输入!$B$64=1,W$4=核心参数输入!$B$9),核心参数输入!$B$65,0),0)</f>
        <v>0</v>
      </c>
      <c r="X104" s="1">
        <f>IF(X$4&lt;=核心参数输入!$B$9,IF(AND(核心参数输入!$B$64=1,X$4=核心参数输入!$B$9),核心参数输入!$B$65,0),0)</f>
        <v>0</v>
      </c>
      <c r="Y104" s="1">
        <f>IF(Y$4&lt;=核心参数输入!$B$9,IF(AND(核心参数输入!$B$64=1,Y$4=核心参数输入!$B$9),核心参数输入!$B$65,0),0)</f>
        <v>0</v>
      </c>
      <c r="Z104" s="1">
        <f>IF(Z$4&lt;=核心参数输入!$B$9,IF(AND(核心参数输入!$B$64=1,Z$4=核心参数输入!$B$9),核心参数输入!$B$65,0),0)</f>
        <v>0</v>
      </c>
      <c r="AA104" s="1">
        <f>IF(AA$4&lt;=核心参数输入!$B$9,IF(AND(核心参数输入!$B$64=1,AA$4=核心参数输入!$B$9),核心参数输入!$B$65,0),0)</f>
        <v>0</v>
      </c>
      <c r="AB104" s="1">
        <f>IF(AB$4&lt;=核心参数输入!$B$9,IF(AND(核心参数输入!$B$64=1,AB$4=核心参数输入!$B$9),核心参数输入!$B$65,0),0)</f>
        <v>0</v>
      </c>
      <c r="AC104" s="1">
        <f>IF(AC$4&lt;=核心参数输入!$B$9,IF(AND(核心参数输入!$B$64=1,AC$4=核心参数输入!$B$9),核心参数输入!$B$65,0),0)</f>
        <v>0</v>
      </c>
      <c r="AD104" s="1">
        <f>IF(AD$4&lt;=核心参数输入!$B$9,IF(AND(核心参数输入!$B$64=1,AD$4=核心参数输入!$B$9),核心参数输入!$B$65,0),0)</f>
        <v>0</v>
      </c>
      <c r="AE104" s="1">
        <f>IF(AE$4&lt;=核心参数输入!$B$9,IF(AND(核心参数输入!$B$64=1,AE$4=核心参数输入!$B$9),核心参数输入!$B$65,0),0)</f>
        <v>0</v>
      </c>
      <c r="AF104" s="1">
        <f>IF(AF$4&lt;=核心参数输入!$B$9,IF(AND(核心参数输入!$B$64=1,AF$4=核心参数输入!$B$9),核心参数输入!$B$65,0),0)</f>
        <v>0</v>
      </c>
      <c r="AG104" s="1">
        <f>IF(AG$4&lt;=核心参数输入!$B$9,IF(AND(核心参数输入!$B$64=1,AG$4=核心参数输入!$B$9),核心参数输入!$B$65,0),0)</f>
        <v>0</v>
      </c>
      <c r="AH104" s="1">
        <f>IF(AH$4&lt;=核心参数输入!$B$9,IF(AND(核心参数输入!$B$64=1,AH$4=核心参数输入!$B$9),核心参数输入!$B$65,0),0)</f>
        <v>0</v>
      </c>
    </row>
    <row r="105" spans="1:34" ht="21" customHeight="1">
      <c r="A105" s="11" t="s">
        <v>234</v>
      </c>
      <c r="B105" s="11" t="s">
        <v>54</v>
      </c>
      <c r="D105" s="1">
        <f>IF(D$4&lt;=核心参数输入!$B$9,D104*核心参数输入!$B$66,0)</f>
        <v>0</v>
      </c>
      <c r="E105" s="1">
        <f>IF(E$4&lt;=核心参数输入!$B$9,E104*核心参数输入!$B$66,0)</f>
        <v>0</v>
      </c>
      <c r="F105" s="1">
        <f>IF(F$4&lt;=核心参数输入!$B$9,F104*核心参数输入!$B$66,0)</f>
        <v>0</v>
      </c>
      <c r="G105" s="1">
        <f>IF(G$4&lt;=核心参数输入!$B$9,G104*核心参数输入!$B$66,0)</f>
        <v>0</v>
      </c>
      <c r="H105" s="1">
        <f>IF(H$4&lt;=核心参数输入!$B$9,H104*核心参数输入!$B$66,0)</f>
        <v>0</v>
      </c>
      <c r="I105" s="1">
        <f>IF(I$4&lt;=核心参数输入!$B$9,I104*核心参数输入!$B$66,0)</f>
        <v>0</v>
      </c>
      <c r="J105" s="1">
        <f>IF(J$4&lt;=核心参数输入!$B$9,J104*核心参数输入!$B$66,0)</f>
        <v>0</v>
      </c>
      <c r="K105" s="1">
        <f>IF(K$4&lt;=核心参数输入!$B$9,K104*核心参数输入!$B$66,0)</f>
        <v>0</v>
      </c>
      <c r="L105" s="1">
        <f>IF(L$4&lt;=核心参数输入!$B$9,L104*核心参数输入!$B$66,0)</f>
        <v>0</v>
      </c>
      <c r="M105" s="1">
        <f>IF(M$4&lt;=核心参数输入!$B$9,M104*核心参数输入!$B$66,0)</f>
        <v>0</v>
      </c>
      <c r="N105" s="1">
        <f>IF(N$4&lt;=核心参数输入!$B$9,N104*核心参数输入!$B$66,0)</f>
        <v>0</v>
      </c>
      <c r="O105" s="1">
        <f>IF(O$4&lt;=核心参数输入!$B$9,O104*核心参数输入!$B$66,0)</f>
        <v>0</v>
      </c>
      <c r="P105" s="1">
        <f>IF(P$4&lt;=核心参数输入!$B$9,P104*核心参数输入!$B$66,0)</f>
        <v>0</v>
      </c>
      <c r="Q105" s="1">
        <f>IF(Q$4&lt;=核心参数输入!$B$9,Q104*核心参数输入!$B$66,0)</f>
        <v>0</v>
      </c>
      <c r="R105" s="1">
        <f>IF(R$4&lt;=核心参数输入!$B$9,R104*核心参数输入!$B$66,0)</f>
        <v>0</v>
      </c>
      <c r="S105" s="1">
        <f>IF(S$4&lt;=核心参数输入!$B$9,S104*核心参数输入!$B$66,0)</f>
        <v>0</v>
      </c>
      <c r="T105" s="1">
        <f>IF(T$4&lt;=核心参数输入!$B$9,T104*核心参数输入!$B$66,0)</f>
        <v>0</v>
      </c>
      <c r="U105" s="1">
        <f>IF(U$4&lt;=核心参数输入!$B$9,U104*核心参数输入!$B$66,0)</f>
        <v>0</v>
      </c>
      <c r="V105" s="1">
        <f>IF(V$4&lt;=核心参数输入!$B$9,V104*核心参数输入!$B$66,0)</f>
        <v>0</v>
      </c>
      <c r="W105" s="1">
        <f>IF(W$4&lt;=核心参数输入!$B$9,W104*核心参数输入!$B$66,0)</f>
        <v>0</v>
      </c>
      <c r="X105" s="1">
        <f>IF(X$4&lt;=核心参数输入!$B$9,X104*核心参数输入!$B$66,0)</f>
        <v>0</v>
      </c>
      <c r="Y105" s="1">
        <f>IF(Y$4&lt;=核心参数输入!$B$9,Y104*核心参数输入!$B$66,0)</f>
        <v>0</v>
      </c>
      <c r="Z105" s="1">
        <f>IF(Z$4&lt;=核心参数输入!$B$9,Z104*核心参数输入!$B$66,0)</f>
        <v>0</v>
      </c>
      <c r="AA105" s="1">
        <f>IF(AA$4&lt;=核心参数输入!$B$9,AA104*核心参数输入!$B$66,0)</f>
        <v>0</v>
      </c>
      <c r="AB105" s="1">
        <f>IF(AB$4&lt;=核心参数输入!$B$9,AB104*核心参数输入!$B$66,0)</f>
        <v>0</v>
      </c>
      <c r="AC105" s="1">
        <f>IF(AC$4&lt;=核心参数输入!$B$9,AC104*核心参数输入!$B$66,0)</f>
        <v>0</v>
      </c>
      <c r="AD105" s="1">
        <f>IF(AD$4&lt;=核心参数输入!$B$9,AD104*核心参数输入!$B$66,0)</f>
        <v>0</v>
      </c>
      <c r="AE105" s="1">
        <f>IF(AE$4&lt;=核心参数输入!$B$9,AE104*核心参数输入!$B$66,0)</f>
        <v>0</v>
      </c>
      <c r="AF105" s="1">
        <f>IF(AF$4&lt;=核心参数输入!$B$9,AF104*核心参数输入!$B$66,0)</f>
        <v>0</v>
      </c>
      <c r="AG105" s="1">
        <f>IF(AG$4&lt;=核心参数输入!$B$9,AG104*核心参数输入!$B$66,0)</f>
        <v>0</v>
      </c>
      <c r="AH105" s="1">
        <f>IF(AH$4&lt;=核心参数输入!$B$9,AH104*核心参数输入!$B$66,0)</f>
        <v>0</v>
      </c>
    </row>
    <row r="106" spans="1:34" ht="21" customHeight="1">
      <c r="A106" s="11" t="s">
        <v>235</v>
      </c>
      <c r="B106" s="11" t="s">
        <v>54</v>
      </c>
      <c r="D106" s="1">
        <f>IF(D$4&lt;=核心参数输入!$B$9,D104-D105,0)</f>
        <v>0</v>
      </c>
      <c r="E106" s="1">
        <f>IF(E$4&lt;=核心参数输入!$B$9,E104-E105,0)</f>
        <v>0</v>
      </c>
      <c r="F106" s="1">
        <f>IF(F$4&lt;=核心参数输入!$B$9,F104-F105,0)</f>
        <v>0</v>
      </c>
      <c r="G106" s="1">
        <f>IF(G$4&lt;=核心参数输入!$B$9,G104-G105,0)</f>
        <v>0</v>
      </c>
      <c r="H106" s="1">
        <f>IF(H$4&lt;=核心参数输入!$B$9,H104-H105,0)</f>
        <v>0</v>
      </c>
      <c r="I106" s="1">
        <f>IF(I$4&lt;=核心参数输入!$B$9,I104-I105,0)</f>
        <v>0</v>
      </c>
      <c r="J106" s="1">
        <f>IF(J$4&lt;=核心参数输入!$B$9,J104-J105,0)</f>
        <v>0</v>
      </c>
      <c r="K106" s="1">
        <f>IF(K$4&lt;=核心参数输入!$B$9,K104-K105,0)</f>
        <v>0</v>
      </c>
      <c r="L106" s="1">
        <f>IF(L$4&lt;=核心参数输入!$B$9,L104-L105,0)</f>
        <v>0</v>
      </c>
      <c r="M106" s="1">
        <f>IF(M$4&lt;=核心参数输入!$B$9,M104-M105,0)</f>
        <v>0</v>
      </c>
      <c r="N106" s="1">
        <f>IF(N$4&lt;=核心参数输入!$B$9,N104-N105,0)</f>
        <v>0</v>
      </c>
      <c r="O106" s="1">
        <f>IF(O$4&lt;=核心参数输入!$B$9,O104-O105,0)</f>
        <v>0</v>
      </c>
      <c r="P106" s="1">
        <f>IF(P$4&lt;=核心参数输入!$B$9,P104-P105,0)</f>
        <v>0</v>
      </c>
      <c r="Q106" s="1">
        <f>IF(Q$4&lt;=核心参数输入!$B$9,Q104-Q105,0)</f>
        <v>0</v>
      </c>
      <c r="R106" s="1">
        <f>IF(R$4&lt;=核心参数输入!$B$9,R104-R105,0)</f>
        <v>0</v>
      </c>
      <c r="S106" s="1">
        <f>IF(S$4&lt;=核心参数输入!$B$9,S104-S105,0)</f>
        <v>0</v>
      </c>
      <c r="T106" s="1">
        <f>IF(T$4&lt;=核心参数输入!$B$9,T104-T105,0)</f>
        <v>0</v>
      </c>
      <c r="U106" s="1">
        <f>IF(U$4&lt;=核心参数输入!$B$9,U104-U105,0)</f>
        <v>0</v>
      </c>
      <c r="V106" s="1">
        <f>IF(V$4&lt;=核心参数输入!$B$9,V104-V105,0)</f>
        <v>0</v>
      </c>
      <c r="W106" s="1">
        <f>IF(W$4&lt;=核心参数输入!$B$9,W104-W105,0)</f>
        <v>0</v>
      </c>
      <c r="X106" s="1">
        <f>IF(X$4&lt;=核心参数输入!$B$9,X104-X105,0)</f>
        <v>0</v>
      </c>
      <c r="Y106" s="1">
        <f>IF(Y$4&lt;=核心参数输入!$B$9,Y104-Y105,0)</f>
        <v>0</v>
      </c>
      <c r="Z106" s="1">
        <f>IF(Z$4&lt;=核心参数输入!$B$9,Z104-Z105,0)</f>
        <v>0</v>
      </c>
      <c r="AA106" s="1">
        <f>IF(AA$4&lt;=核心参数输入!$B$9,AA104-AA105,0)</f>
        <v>0</v>
      </c>
      <c r="AB106" s="1">
        <f>IF(AB$4&lt;=核心参数输入!$B$9,AB104-AB105,0)</f>
        <v>0</v>
      </c>
      <c r="AC106" s="1">
        <f>IF(AC$4&lt;=核心参数输入!$B$9,AC104-AC105,0)</f>
        <v>0</v>
      </c>
      <c r="AD106" s="1">
        <f>IF(AD$4&lt;=核心参数输入!$B$9,AD104-AD105,0)</f>
        <v>0</v>
      </c>
      <c r="AE106" s="1">
        <f>IF(AE$4&lt;=核心参数输入!$B$9,AE104-AE105,0)</f>
        <v>0</v>
      </c>
      <c r="AF106" s="1">
        <f>IF(AF$4&lt;=核心参数输入!$B$9,AF104-AF105,0)</f>
        <v>0</v>
      </c>
      <c r="AG106" s="1">
        <f>IF(AG$4&lt;=核心参数输入!$B$9,AG104-AG105,0)</f>
        <v>0</v>
      </c>
      <c r="AH106" s="1">
        <f>IF(AH$4&lt;=核心参数输入!$B$9,AH104-AH105,0)</f>
        <v>0</v>
      </c>
    </row>
  </sheetData>
  <mergeCells count="2">
    <mergeCell ref="A7:AH7"/>
    <mergeCell ref="A87:AH87"/>
  </mergeCells>
  <phoneticPr fontId="7" type="noConversion"/>
  <pageMargins left="0.25" right="0.25" top="0.4" bottom="0.4" header="0.3" footer="0.3"/>
  <pageSetup paperSize="9" scale="23" fitToHeight="0" orientation="landscape" r:id="rId1"/>
  <headerFooter>
    <oddFooter>&amp;L模拟数据 · 学习用途&amp;C&amp;P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AH105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48.75" style="11" customWidth="1"/>
    <col min="2" max="2" width="17.75" style="1" customWidth="1"/>
    <col min="3" max="3" width="12.75" style="11" customWidth="1"/>
    <col min="4" max="34" width="15.75" style="1" customWidth="1"/>
  </cols>
  <sheetData>
    <row r="2" spans="1:34" ht="29.1" customHeight="1">
      <c r="A2" s="2" t="s">
        <v>5</v>
      </c>
    </row>
    <row r="4" spans="1:34" ht="21" customHeight="1">
      <c r="A4" s="5" t="s">
        <v>162</v>
      </c>
      <c r="D4" s="5">
        <f>核心参数输入!D87</f>
        <v>0</v>
      </c>
      <c r="E4" s="5">
        <f>核心参数输入!E87</f>
        <v>1</v>
      </c>
      <c r="F4" s="5">
        <f>核心参数输入!F87</f>
        <v>2</v>
      </c>
      <c r="G4" s="5">
        <f>核心参数输入!G87</f>
        <v>3</v>
      </c>
      <c r="H4" s="5">
        <f>核心参数输入!H87</f>
        <v>4</v>
      </c>
      <c r="I4" s="5">
        <f>核心参数输入!I87</f>
        <v>5</v>
      </c>
      <c r="J4" s="5">
        <f>核心参数输入!J87</f>
        <v>6</v>
      </c>
      <c r="K4" s="5">
        <f>核心参数输入!K87</f>
        <v>7</v>
      </c>
      <c r="L4" s="5">
        <f>核心参数输入!L87</f>
        <v>8</v>
      </c>
      <c r="M4" s="5">
        <f>核心参数输入!M87</f>
        <v>9</v>
      </c>
      <c r="N4" s="5">
        <f>核心参数输入!N87</f>
        <v>10</v>
      </c>
      <c r="O4" s="5">
        <f>核心参数输入!O87</f>
        <v>11</v>
      </c>
      <c r="P4" s="5">
        <f>核心参数输入!P87</f>
        <v>12</v>
      </c>
      <c r="Q4" s="5">
        <f>核心参数输入!Q87</f>
        <v>13</v>
      </c>
      <c r="R4" s="5">
        <f>核心参数输入!R87</f>
        <v>14</v>
      </c>
      <c r="S4" s="5">
        <f>核心参数输入!S87</f>
        <v>15</v>
      </c>
      <c r="T4" s="5">
        <f>核心参数输入!T87</f>
        <v>16</v>
      </c>
      <c r="U4" s="5">
        <f>核心参数输入!U87</f>
        <v>17</v>
      </c>
      <c r="V4" s="5">
        <f>核心参数输入!V87</f>
        <v>18</v>
      </c>
      <c r="W4" s="5">
        <f>核心参数输入!W87</f>
        <v>19</v>
      </c>
      <c r="X4" s="5">
        <f>核心参数输入!X87</f>
        <v>20</v>
      </c>
      <c r="Y4" s="5">
        <f>核心参数输入!Y87</f>
        <v>21</v>
      </c>
      <c r="Z4" s="5">
        <f>核心参数输入!Z87</f>
        <v>22</v>
      </c>
      <c r="AA4" s="5">
        <f>核心参数输入!AA87</f>
        <v>23</v>
      </c>
      <c r="AB4" s="5">
        <f>核心参数输入!AB87</f>
        <v>24</v>
      </c>
      <c r="AC4" s="5">
        <f>核心参数输入!AC87</f>
        <v>25</v>
      </c>
      <c r="AD4" s="5">
        <f>核心参数输入!AD87</f>
        <v>26</v>
      </c>
      <c r="AE4" s="5">
        <f>核心参数输入!AE87</f>
        <v>27</v>
      </c>
      <c r="AF4" s="5">
        <f>核心参数输入!AF87</f>
        <v>28</v>
      </c>
      <c r="AG4" s="5">
        <f>核心参数输入!AG87</f>
        <v>29</v>
      </c>
      <c r="AH4" s="5">
        <f>核心参数输入!AH87</f>
        <v>30</v>
      </c>
    </row>
    <row r="5" spans="1:34" ht="21" customHeight="1">
      <c r="D5" s="12">
        <f>核心参数输入!$B$8+D4</f>
        <v>2026</v>
      </c>
      <c r="E5" s="12">
        <f>核心参数输入!$B$8+E4</f>
        <v>2027</v>
      </c>
      <c r="F5" s="12">
        <f>核心参数输入!$B$8+F4</f>
        <v>2028</v>
      </c>
      <c r="G5" s="12">
        <f>核心参数输入!$B$8+G4</f>
        <v>2029</v>
      </c>
      <c r="H5" s="12">
        <f>核心参数输入!$B$8+H4</f>
        <v>2030</v>
      </c>
      <c r="I5" s="12">
        <f>核心参数输入!$B$8+I4</f>
        <v>2031</v>
      </c>
      <c r="J5" s="12">
        <f>核心参数输入!$B$8+J4</f>
        <v>2032</v>
      </c>
      <c r="K5" s="12">
        <f>核心参数输入!$B$8+K4</f>
        <v>2033</v>
      </c>
      <c r="L5" s="12">
        <f>核心参数输入!$B$8+L4</f>
        <v>2034</v>
      </c>
      <c r="M5" s="12">
        <f>核心参数输入!$B$8+M4</f>
        <v>2035</v>
      </c>
      <c r="N5" s="12">
        <f>核心参数输入!$B$8+N4</f>
        <v>2036</v>
      </c>
      <c r="O5" s="12">
        <f>核心参数输入!$B$8+O4</f>
        <v>2037</v>
      </c>
      <c r="P5" s="12">
        <f>核心参数输入!$B$8+P4</f>
        <v>2038</v>
      </c>
      <c r="Q5" s="12">
        <f>核心参数输入!$B$8+Q4</f>
        <v>2039</v>
      </c>
      <c r="R5" s="12">
        <f>核心参数输入!$B$8+R4</f>
        <v>2040</v>
      </c>
      <c r="S5" s="12">
        <f>核心参数输入!$B$8+S4</f>
        <v>2041</v>
      </c>
      <c r="T5" s="12">
        <f>核心参数输入!$B$8+T4</f>
        <v>2042</v>
      </c>
      <c r="U5" s="12">
        <f>核心参数输入!$B$8+U4</f>
        <v>2043</v>
      </c>
      <c r="V5" s="12">
        <f>核心参数输入!$B$8+V4</f>
        <v>2044</v>
      </c>
      <c r="W5" s="12">
        <f>核心参数输入!$B$8+W4</f>
        <v>2045</v>
      </c>
      <c r="X5" s="12">
        <f>核心参数输入!$B$8+X4</f>
        <v>2046</v>
      </c>
      <c r="Y5" s="12">
        <f>核心参数输入!$B$8+Y4</f>
        <v>2047</v>
      </c>
      <c r="Z5" s="12">
        <f>核心参数输入!$B$8+Z4</f>
        <v>2048</v>
      </c>
      <c r="AA5" s="12">
        <f>核心参数输入!$B$8+AA4</f>
        <v>2049</v>
      </c>
      <c r="AB5" s="12">
        <f>核心参数输入!$B$8+AB4</f>
        <v>2050</v>
      </c>
      <c r="AC5" s="12">
        <f>核心参数输入!$B$8+AC4</f>
        <v>2051</v>
      </c>
      <c r="AD5" s="12">
        <f>核心参数输入!$B$8+AD4</f>
        <v>2052</v>
      </c>
      <c r="AE5" s="12">
        <f>核心参数输入!$B$8+AE4</f>
        <v>2053</v>
      </c>
      <c r="AF5" s="12">
        <f>核心参数输入!$B$8+AF4</f>
        <v>2054</v>
      </c>
      <c r="AG5" s="12">
        <f>核心参数输入!$B$8+AG4</f>
        <v>2055</v>
      </c>
      <c r="AH5" s="12">
        <f>核心参数输入!$B$8+AH4</f>
        <v>2056</v>
      </c>
    </row>
    <row r="7" spans="1:34" ht="24.95" customHeight="1">
      <c r="A7" s="15" t="s">
        <v>237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</row>
    <row r="10" spans="1:34" ht="21" customHeight="1">
      <c r="A10" s="11" t="s">
        <v>238</v>
      </c>
      <c r="B10" s="11" t="s">
        <v>54</v>
      </c>
      <c r="D10" s="1">
        <f>IF(D$4&lt;=核心参数输入!$B$9,销售与出租收入!D13*核心参数输入!$B$32,0)</f>
        <v>0</v>
      </c>
      <c r="E10" s="1">
        <f>IF(E$4&lt;=核心参数输入!$B$9,销售与出租收入!E13*核心参数输入!$B$32,0)</f>
        <v>0</v>
      </c>
      <c r="F10" s="1">
        <f>IF(F$4&lt;=核心参数输入!$B$9,销售与出租收入!F13*核心参数输入!$B$32,0)</f>
        <v>0</v>
      </c>
      <c r="G10" s="1">
        <f>IF(G$4&lt;=核心参数输入!$B$9,销售与出租收入!G13*核心参数输入!$B$32,0)</f>
        <v>0</v>
      </c>
      <c r="H10" s="1">
        <f>IF(H$4&lt;=核心参数输入!$B$9,销售与出租收入!H13*核心参数输入!$B$32,0)</f>
        <v>361.96875</v>
      </c>
      <c r="I10" s="1">
        <f>IF(I$4&lt;=核心参数输入!$B$9,销售与出租收入!I13*核心参数输入!$B$32,0)</f>
        <v>482.625</v>
      </c>
      <c r="J10" s="1">
        <f>IF(J$4&lt;=核心参数输入!$B$9,销售与出租收入!J13*核心参数输入!$B$32,0)</f>
        <v>361.96875</v>
      </c>
      <c r="K10" s="1">
        <f>IF(K$4&lt;=核心参数输入!$B$9,销售与出租收入!K13*核心参数输入!$B$32,0)</f>
        <v>0</v>
      </c>
      <c r="L10" s="1">
        <f>IF(L$4&lt;=核心参数输入!$B$9,销售与出租收入!L13*核心参数输入!$B$32,0)</f>
        <v>0</v>
      </c>
      <c r="M10" s="1">
        <f>IF(M$4&lt;=核心参数输入!$B$9,销售与出租收入!M13*核心参数输入!$B$32,0)</f>
        <v>0</v>
      </c>
      <c r="N10" s="1">
        <f>IF(N$4&lt;=核心参数输入!$B$9,销售与出租收入!N13*核心参数输入!$B$32,0)</f>
        <v>0</v>
      </c>
      <c r="O10" s="1">
        <f>IF(O$4&lt;=核心参数输入!$B$9,销售与出租收入!O13*核心参数输入!$B$32,0)</f>
        <v>0</v>
      </c>
      <c r="P10" s="1">
        <f>IF(P$4&lt;=核心参数输入!$B$9,销售与出租收入!P13*核心参数输入!$B$32,0)</f>
        <v>0</v>
      </c>
      <c r="Q10" s="1">
        <f>IF(Q$4&lt;=核心参数输入!$B$9,销售与出租收入!Q13*核心参数输入!$B$32,0)</f>
        <v>0</v>
      </c>
      <c r="R10" s="1">
        <f>IF(R$4&lt;=核心参数输入!$B$9,销售与出租收入!R13*核心参数输入!$B$32,0)</f>
        <v>0</v>
      </c>
      <c r="S10" s="1">
        <f>IF(S$4&lt;=核心参数输入!$B$9,销售与出租收入!S13*核心参数输入!$B$32,0)</f>
        <v>0</v>
      </c>
      <c r="T10" s="1">
        <f>IF(T$4&lt;=核心参数输入!$B$9,销售与出租收入!T13*核心参数输入!$B$32,0)</f>
        <v>0</v>
      </c>
      <c r="U10" s="1">
        <f>IF(U$4&lt;=核心参数输入!$B$9,销售与出租收入!U13*核心参数输入!$B$32,0)</f>
        <v>0</v>
      </c>
      <c r="V10" s="1">
        <f>IF(V$4&lt;=核心参数输入!$B$9,销售与出租收入!V13*核心参数输入!$B$32,0)</f>
        <v>0</v>
      </c>
      <c r="W10" s="1">
        <f>IF(W$4&lt;=核心参数输入!$B$9,销售与出租收入!W13*核心参数输入!$B$32,0)</f>
        <v>0</v>
      </c>
      <c r="X10" s="1">
        <f>IF(X$4&lt;=核心参数输入!$B$9,销售与出租收入!X13*核心参数输入!$B$32,0)</f>
        <v>0</v>
      </c>
      <c r="Y10" s="1">
        <f>IF(Y$4&lt;=核心参数输入!$B$9,销售与出租收入!Y13*核心参数输入!$B$32,0)</f>
        <v>0</v>
      </c>
      <c r="Z10" s="1">
        <f>IF(Z$4&lt;=核心参数输入!$B$9,销售与出租收入!Z13*核心参数输入!$B$32,0)</f>
        <v>0</v>
      </c>
      <c r="AA10" s="1">
        <f>IF(AA$4&lt;=核心参数输入!$B$9,销售与出租收入!AA13*核心参数输入!$B$32,0)</f>
        <v>0</v>
      </c>
      <c r="AB10" s="1">
        <f>IF(AB$4&lt;=核心参数输入!$B$9,销售与出租收入!AB13*核心参数输入!$B$32,0)</f>
        <v>0</v>
      </c>
      <c r="AC10" s="1">
        <f>IF(AC$4&lt;=核心参数输入!$B$9,销售与出租收入!AC13*核心参数输入!$B$32,0)</f>
        <v>0</v>
      </c>
      <c r="AD10" s="1">
        <f>IF(AD$4&lt;=核心参数输入!$B$9,销售与出租收入!AD13*核心参数输入!$B$32,0)</f>
        <v>0</v>
      </c>
      <c r="AE10" s="1">
        <f>IF(AE$4&lt;=核心参数输入!$B$9,销售与出租收入!AE13*核心参数输入!$B$32,0)</f>
        <v>0</v>
      </c>
      <c r="AF10" s="1">
        <f>IF(AF$4&lt;=核心参数输入!$B$9,销售与出租收入!AF13*核心参数输入!$B$32,0)</f>
        <v>0</v>
      </c>
      <c r="AG10" s="1">
        <f>IF(AG$4&lt;=核心参数输入!$B$9,销售与出租收入!AG13*核心参数输入!$B$32,0)</f>
        <v>0</v>
      </c>
      <c r="AH10" s="1">
        <f>IF(AH$4&lt;=核心参数输入!$B$9,销售与出租收入!AH13*核心参数输入!$B$32,0)</f>
        <v>0</v>
      </c>
    </row>
    <row r="11" spans="1:34" ht="21" customHeight="1">
      <c r="A11" s="11" t="s">
        <v>239</v>
      </c>
      <c r="B11" s="11" t="s">
        <v>54</v>
      </c>
      <c r="D11" s="1">
        <f>IF(D$4&lt;=核心参数输入!$B$9,销售与出租收入!D13*核心参数输入!$B$33,0)</f>
        <v>0</v>
      </c>
      <c r="E11" s="1">
        <f>IF(E$4&lt;=核心参数输入!$B$9,销售与出租收入!E13*核心参数输入!$B$33,0)</f>
        <v>0</v>
      </c>
      <c r="F11" s="1">
        <f>IF(F$4&lt;=核心参数输入!$B$9,销售与出租收入!F13*核心参数输入!$B$33,0)</f>
        <v>0</v>
      </c>
      <c r="G11" s="1">
        <f>IF(G$4&lt;=核心参数输入!$B$9,销售与出租收入!G13*核心参数输入!$B$33,0)</f>
        <v>0</v>
      </c>
      <c r="H11" s="1">
        <f>IF(H$4&lt;=核心参数输入!$B$9,销售与出租收入!H13*核心参数输入!$B$33,0)</f>
        <v>1158.3</v>
      </c>
      <c r="I11" s="1">
        <f>IF(I$4&lt;=核心参数输入!$B$9,销售与出租收入!I13*核心参数输入!$B$33,0)</f>
        <v>1544.4</v>
      </c>
      <c r="J11" s="1">
        <f>IF(J$4&lt;=核心参数输入!$B$9,销售与出租收入!J13*核心参数输入!$B$33,0)</f>
        <v>1158.3</v>
      </c>
      <c r="K11" s="1">
        <f>IF(K$4&lt;=核心参数输入!$B$9,销售与出租收入!K13*核心参数输入!$B$33,0)</f>
        <v>0</v>
      </c>
      <c r="L11" s="1">
        <f>IF(L$4&lt;=核心参数输入!$B$9,销售与出租收入!L13*核心参数输入!$B$33,0)</f>
        <v>0</v>
      </c>
      <c r="M11" s="1">
        <f>IF(M$4&lt;=核心参数输入!$B$9,销售与出租收入!M13*核心参数输入!$B$33,0)</f>
        <v>0</v>
      </c>
      <c r="N11" s="1">
        <f>IF(N$4&lt;=核心参数输入!$B$9,销售与出租收入!N13*核心参数输入!$B$33,0)</f>
        <v>0</v>
      </c>
      <c r="O11" s="1">
        <f>IF(O$4&lt;=核心参数输入!$B$9,销售与出租收入!O13*核心参数输入!$B$33,0)</f>
        <v>0</v>
      </c>
      <c r="P11" s="1">
        <f>IF(P$4&lt;=核心参数输入!$B$9,销售与出租收入!P13*核心参数输入!$B$33,0)</f>
        <v>0</v>
      </c>
      <c r="Q11" s="1">
        <f>IF(Q$4&lt;=核心参数输入!$B$9,销售与出租收入!Q13*核心参数输入!$B$33,0)</f>
        <v>0</v>
      </c>
      <c r="R11" s="1">
        <f>IF(R$4&lt;=核心参数输入!$B$9,销售与出租收入!R13*核心参数输入!$B$33,0)</f>
        <v>0</v>
      </c>
      <c r="S11" s="1">
        <f>IF(S$4&lt;=核心参数输入!$B$9,销售与出租收入!S13*核心参数输入!$B$33,0)</f>
        <v>0</v>
      </c>
      <c r="T11" s="1">
        <f>IF(T$4&lt;=核心参数输入!$B$9,销售与出租收入!T13*核心参数输入!$B$33,0)</f>
        <v>0</v>
      </c>
      <c r="U11" s="1">
        <f>IF(U$4&lt;=核心参数输入!$B$9,销售与出租收入!U13*核心参数输入!$B$33,0)</f>
        <v>0</v>
      </c>
      <c r="V11" s="1">
        <f>IF(V$4&lt;=核心参数输入!$B$9,销售与出租收入!V13*核心参数输入!$B$33,0)</f>
        <v>0</v>
      </c>
      <c r="W11" s="1">
        <f>IF(W$4&lt;=核心参数输入!$B$9,销售与出租收入!W13*核心参数输入!$B$33,0)</f>
        <v>0</v>
      </c>
      <c r="X11" s="1">
        <f>IF(X$4&lt;=核心参数输入!$B$9,销售与出租收入!X13*核心参数输入!$B$33,0)</f>
        <v>0</v>
      </c>
      <c r="Y11" s="1">
        <f>IF(Y$4&lt;=核心参数输入!$B$9,销售与出租收入!Y13*核心参数输入!$B$33,0)</f>
        <v>0</v>
      </c>
      <c r="Z11" s="1">
        <f>IF(Z$4&lt;=核心参数输入!$B$9,销售与出租收入!Z13*核心参数输入!$B$33,0)</f>
        <v>0</v>
      </c>
      <c r="AA11" s="1">
        <f>IF(AA$4&lt;=核心参数输入!$B$9,销售与出租收入!AA13*核心参数输入!$B$33,0)</f>
        <v>0</v>
      </c>
      <c r="AB11" s="1">
        <f>IF(AB$4&lt;=核心参数输入!$B$9,销售与出租收入!AB13*核心参数输入!$B$33,0)</f>
        <v>0</v>
      </c>
      <c r="AC11" s="1">
        <f>IF(AC$4&lt;=核心参数输入!$B$9,销售与出租收入!AC13*核心参数输入!$B$33,0)</f>
        <v>0</v>
      </c>
      <c r="AD11" s="1">
        <f>IF(AD$4&lt;=核心参数输入!$B$9,销售与出租收入!AD13*核心参数输入!$B$33,0)</f>
        <v>0</v>
      </c>
      <c r="AE11" s="1">
        <f>IF(AE$4&lt;=核心参数输入!$B$9,销售与出租收入!AE13*核心参数输入!$B$33,0)</f>
        <v>0</v>
      </c>
      <c r="AF11" s="1">
        <f>IF(AF$4&lt;=核心参数输入!$B$9,销售与出租收入!AF13*核心参数输入!$B$33,0)</f>
        <v>0</v>
      </c>
      <c r="AG11" s="1">
        <f>IF(AG$4&lt;=核心参数输入!$B$9,销售与出租收入!AG13*核心参数输入!$B$33,0)</f>
        <v>0</v>
      </c>
      <c r="AH11" s="1">
        <f>IF(AH$4&lt;=核心参数输入!$B$9,销售与出租收入!AH13*核心参数输入!$B$33,0)</f>
        <v>0</v>
      </c>
    </row>
    <row r="12" spans="1:34" ht="21" customHeight="1">
      <c r="A12" s="11" t="s">
        <v>240</v>
      </c>
      <c r="B12" s="11" t="s">
        <v>54</v>
      </c>
      <c r="D12" s="1">
        <f>IF(D$4&lt;=核心参数输入!$B$9,IF(D$4-核心参数输入!$B$16&gt;0,核心参数输入!$B$47*(1+核心参数输入!$B$48)^MAX(0,D$4-核心参数输入!$B$16-1),0),0)</f>
        <v>0</v>
      </c>
      <c r="E12" s="1">
        <f>IF(E$4&lt;=核心参数输入!$B$9,IF(E$4-核心参数输入!$B$16&gt;0,核心参数输入!$B$47*(1+核心参数输入!$B$48)^MAX(0,E$4-核心参数输入!$B$16-1),0),0)</f>
        <v>0</v>
      </c>
      <c r="F12" s="1">
        <f>IF(F$4&lt;=核心参数输入!$B$9,IF(F$4-核心参数输入!$B$16&gt;0,核心参数输入!$B$47*(1+核心参数输入!$B$48)^MAX(0,F$4-核心参数输入!$B$16-1),0),0)</f>
        <v>0</v>
      </c>
      <c r="G12" s="1">
        <f>IF(G$4&lt;=核心参数输入!$B$9,IF(G$4-核心参数输入!$B$16&gt;0,核心参数输入!$B$47*(1+核心参数输入!$B$48)^MAX(0,G$4-核心参数输入!$B$16-1),0),0)</f>
        <v>0</v>
      </c>
      <c r="H12" s="1">
        <f>IF(H$4&lt;=核心参数输入!$B$9,IF(H$4-核心参数输入!$B$16&gt;0,核心参数输入!$B$47*(1+核心参数输入!$B$48)^MAX(0,H$4-核心参数输入!$B$16-1),0),0)</f>
        <v>300</v>
      </c>
      <c r="I12" s="1">
        <f>IF(I$4&lt;=核心参数输入!$B$9,IF(I$4-核心参数输入!$B$16&gt;0,核心参数输入!$B$47*(1+核心参数输入!$B$48)^MAX(0,I$4-核心参数输入!$B$16-1),0),0)</f>
        <v>306</v>
      </c>
      <c r="J12" s="1">
        <f>IF(J$4&lt;=核心参数输入!$B$9,IF(J$4-核心参数输入!$B$16&gt;0,核心参数输入!$B$47*(1+核心参数输入!$B$48)^MAX(0,J$4-核心参数输入!$B$16-1),0),0)</f>
        <v>312.12</v>
      </c>
      <c r="K12" s="1">
        <f>IF(K$4&lt;=核心参数输入!$B$9,IF(K$4-核心参数输入!$B$16&gt;0,核心参数输入!$B$47*(1+核心参数输入!$B$48)^MAX(0,K$4-核心参数输入!$B$16-1),0),0)</f>
        <v>318.36239999999998</v>
      </c>
      <c r="L12" s="1">
        <f>IF(L$4&lt;=核心参数输入!$B$9,IF(L$4-核心参数输入!$B$16&gt;0,核心参数输入!$B$47*(1+核心参数输入!$B$48)^MAX(0,L$4-核心参数输入!$B$16-1),0),0)</f>
        <v>324.729648</v>
      </c>
      <c r="M12" s="1">
        <f>IF(M$4&lt;=核心参数输入!$B$9,IF(M$4-核心参数输入!$B$16&gt;0,核心参数输入!$B$47*(1+核心参数输入!$B$48)^MAX(0,M$4-核心参数输入!$B$16-1),0),0)</f>
        <v>331.22424096000003</v>
      </c>
      <c r="N12" s="1">
        <f>IF(N$4&lt;=核心参数输入!$B$9,IF(N$4-核心参数输入!$B$16&gt;0,核心参数输入!$B$47*(1+核心参数输入!$B$48)^MAX(0,N$4-核心参数输入!$B$16-1),0),0)</f>
        <v>337.84872577920004</v>
      </c>
      <c r="O12" s="1">
        <f>IF(O$4&lt;=核心参数输入!$B$9,IF(O$4-核心参数输入!$B$16&gt;0,核心参数输入!$B$47*(1+核心参数输入!$B$48)^MAX(0,O$4-核心参数输入!$B$16-1),0),0)</f>
        <v>344.60570029478396</v>
      </c>
      <c r="P12" s="1">
        <f>IF(P$4&lt;=核心参数输入!$B$9,IF(P$4-核心参数输入!$B$16&gt;0,核心参数输入!$B$47*(1+核心参数输入!$B$48)^MAX(0,P$4-核心参数输入!$B$16-1),0),0)</f>
        <v>351.49781430067964</v>
      </c>
      <c r="Q12" s="1">
        <f>IF(Q$4&lt;=核心参数输入!$B$9,IF(Q$4-核心参数输入!$B$16&gt;0,核心参数输入!$B$47*(1+核心参数输入!$B$48)^MAX(0,Q$4-核心参数输入!$B$16-1),0),0)</f>
        <v>358.52777058669324</v>
      </c>
      <c r="R12" s="1">
        <f>IF(R$4&lt;=核心参数输入!$B$9,IF(R$4-核心参数输入!$B$16&gt;0,核心参数输入!$B$47*(1+核心参数输入!$B$48)^MAX(0,R$4-核心参数输入!$B$16-1),0),0)</f>
        <v>365.69832599842715</v>
      </c>
      <c r="S12" s="1">
        <f>IF(S$4&lt;=核心参数输入!$B$9,IF(S$4-核心参数输入!$B$16&gt;0,核心参数输入!$B$47*(1+核心参数输入!$B$48)^MAX(0,S$4-核心参数输入!$B$16-1),0),0)</f>
        <v>373.01229251839561</v>
      </c>
      <c r="T12" s="1">
        <f>IF(T$4&lt;=核心参数输入!$B$9,IF(T$4-核心参数输入!$B$16&gt;0,核心参数输入!$B$47*(1+核心参数输入!$B$48)^MAX(0,T$4-核心参数输入!$B$16-1),0),0)</f>
        <v>380.47253836876359</v>
      </c>
      <c r="U12" s="1">
        <f>IF(U$4&lt;=核心参数输入!$B$9,IF(U$4-核心参数输入!$B$16&gt;0,核心参数输入!$B$47*(1+核心参数输入!$B$48)^MAX(0,U$4-核心参数输入!$B$16-1),0),0)</f>
        <v>388.08198913613882</v>
      </c>
      <c r="V12" s="1">
        <f>IF(V$4&lt;=核心参数输入!$B$9,IF(V$4-核心参数输入!$B$16&gt;0,核心参数输入!$B$47*(1+核心参数输入!$B$48)^MAX(0,V$4-核心参数输入!$B$16-1),0),0)</f>
        <v>395.84362891886167</v>
      </c>
      <c r="W12" s="1">
        <f>IF(W$4&lt;=核心参数输入!$B$9,IF(W$4-核心参数输入!$B$16&gt;0,核心参数输入!$B$47*(1+核心参数输入!$B$48)^MAX(0,W$4-核心参数输入!$B$16-1),0),0)</f>
        <v>403.76050149723875</v>
      </c>
      <c r="X12" s="1">
        <f>IF(X$4&lt;=核心参数输入!$B$9,IF(X$4-核心参数输入!$B$16&gt;0,核心参数输入!$B$47*(1+核心参数输入!$B$48)^MAX(0,X$4-核心参数输入!$B$16-1),0),0)</f>
        <v>411.83571152718361</v>
      </c>
      <c r="Y12" s="1">
        <f>IF(Y$4&lt;=核心参数输入!$B$9,IF(Y$4-核心参数输入!$B$16&gt;0,核心参数输入!$B$47*(1+核心参数输入!$B$48)^MAX(0,Y$4-核心参数输入!$B$16-1),0),0)</f>
        <v>0</v>
      </c>
      <c r="Z12" s="1">
        <f>IF(Z$4&lt;=核心参数输入!$B$9,IF(Z$4-核心参数输入!$B$16&gt;0,核心参数输入!$B$47*(1+核心参数输入!$B$48)^MAX(0,Z$4-核心参数输入!$B$16-1),0),0)</f>
        <v>0</v>
      </c>
      <c r="AA12" s="1">
        <f>IF(AA$4&lt;=核心参数输入!$B$9,IF(AA$4-核心参数输入!$B$16&gt;0,核心参数输入!$B$47*(1+核心参数输入!$B$48)^MAX(0,AA$4-核心参数输入!$B$16-1),0),0)</f>
        <v>0</v>
      </c>
      <c r="AB12" s="1">
        <f>IF(AB$4&lt;=核心参数输入!$B$9,IF(AB$4-核心参数输入!$B$16&gt;0,核心参数输入!$B$47*(1+核心参数输入!$B$48)^MAX(0,AB$4-核心参数输入!$B$16-1),0),0)</f>
        <v>0</v>
      </c>
      <c r="AC12" s="1">
        <f>IF(AC$4&lt;=核心参数输入!$B$9,IF(AC$4-核心参数输入!$B$16&gt;0,核心参数输入!$B$47*(1+核心参数输入!$B$48)^MAX(0,AC$4-核心参数输入!$B$16-1),0),0)</f>
        <v>0</v>
      </c>
      <c r="AD12" s="1">
        <f>IF(AD$4&lt;=核心参数输入!$B$9,IF(AD$4-核心参数输入!$B$16&gt;0,核心参数输入!$B$47*(1+核心参数输入!$B$48)^MAX(0,AD$4-核心参数输入!$B$16-1),0),0)</f>
        <v>0</v>
      </c>
      <c r="AE12" s="1">
        <f>IF(AE$4&lt;=核心参数输入!$B$9,IF(AE$4-核心参数输入!$B$16&gt;0,核心参数输入!$B$47*(1+核心参数输入!$B$48)^MAX(0,AE$4-核心参数输入!$B$16-1),0),0)</f>
        <v>0</v>
      </c>
      <c r="AF12" s="1">
        <f>IF(AF$4&lt;=核心参数输入!$B$9,IF(AF$4-核心参数输入!$B$16&gt;0,核心参数输入!$B$47*(1+核心参数输入!$B$48)^MAX(0,AF$4-核心参数输入!$B$16-1),0),0)</f>
        <v>0</v>
      </c>
      <c r="AG12" s="1">
        <f>IF(AG$4&lt;=核心参数输入!$B$9,IF(AG$4-核心参数输入!$B$16&gt;0,核心参数输入!$B$47*(1+核心参数输入!$B$48)^MAX(0,AG$4-核心参数输入!$B$16-1),0),0)</f>
        <v>0</v>
      </c>
      <c r="AH12" s="1">
        <f>IF(AH$4&lt;=核心参数输入!$B$9,IF(AH$4-核心参数输入!$B$16&gt;0,核心参数输入!$B$47*(1+核心参数输入!$B$48)^MAX(0,AH$4-核心参数输入!$B$16-1),0),0)</f>
        <v>0</v>
      </c>
    </row>
    <row r="13" spans="1:34" ht="21" customHeight="1">
      <c r="A13" s="11" t="s">
        <v>241</v>
      </c>
      <c r="B13" s="11" t="s">
        <v>54</v>
      </c>
      <c r="D13" s="1">
        <f>IF(D$4&lt;=核心参数输入!$B$9,销售与出租收入!D22*核心参数输入!$B$49,0)</f>
        <v>0</v>
      </c>
      <c r="E13" s="1">
        <f>IF(E$4&lt;=核心参数输入!$B$9,销售与出租收入!E22*核心参数输入!$B$49,0)</f>
        <v>0</v>
      </c>
      <c r="F13" s="1">
        <f>IF(F$4&lt;=核心参数输入!$B$9,销售与出租收入!F22*核心参数输入!$B$49,0)</f>
        <v>0</v>
      </c>
      <c r="G13" s="1">
        <f>IF(G$4&lt;=核心参数输入!$B$9,销售与出租收入!G22*核心参数输入!$B$49,0)</f>
        <v>0</v>
      </c>
      <c r="H13" s="1">
        <f>IF(H$4&lt;=核心参数输入!$B$9,销售与出租收入!H22*核心参数输入!$B$49,0)</f>
        <v>87.766496999999987</v>
      </c>
      <c r="I13" s="1">
        <f>IF(I$4&lt;=核心参数输入!$B$9,销售与出租收入!I22*核心参数输入!$B$49,0)</f>
        <v>154.41052372199994</v>
      </c>
      <c r="J13" s="1">
        <f>IF(J$4&lt;=核心参数输入!$B$9,销售与出租收入!J22*核心参数输入!$B$49,0)</f>
        <v>195.90835197228742</v>
      </c>
      <c r="K13" s="1">
        <f>IF(K$4&lt;=核心参数输入!$B$9,销售与出租收入!K22*核心参数输入!$B$49,0)</f>
        <v>217.20208284435216</v>
      </c>
      <c r="L13" s="1">
        <f>IF(L$4&lt;=核心参数输入!$B$9,销售与出租收入!L22*核心参数输入!$B$49,0)</f>
        <v>223.56518611641204</v>
      </c>
      <c r="M13" s="1">
        <f>IF(M$4&lt;=核心参数输入!$B$9,销售与出租收入!M22*核心参数输入!$B$49,0)</f>
        <v>226.91866390815818</v>
      </c>
      <c r="N13" s="1">
        <f>IF(N$4&lt;=核心参数输入!$B$9,销售与出租收入!N22*核心参数输入!$B$49,0)</f>
        <v>230.3224438667805</v>
      </c>
      <c r="O13" s="1">
        <f>IF(O$4&lt;=核心参数输入!$B$9,销售与出租收入!O22*核心参数输入!$B$49,0)</f>
        <v>233.77728052478219</v>
      </c>
      <c r="P13" s="1">
        <f>IF(P$4&lt;=核心参数输入!$B$9,销售与出租收入!P22*核心参数输入!$B$49,0)</f>
        <v>237.28393973265389</v>
      </c>
      <c r="Q13" s="1">
        <f>IF(Q$4&lt;=核心参数输入!$B$9,销售与出租收入!Q22*核心参数输入!$B$49,0)</f>
        <v>240.84319882864366</v>
      </c>
      <c r="R13" s="1">
        <f>IF(R$4&lt;=核心参数输入!$B$9,销售与出租收入!R22*核心参数输入!$B$49,0)</f>
        <v>244.45584681107329</v>
      </c>
      <c r="S13" s="1">
        <f>IF(S$4&lt;=核心参数输入!$B$9,销售与出租收入!S22*核心参数输入!$B$49,0)</f>
        <v>248.12268451323934</v>
      </c>
      <c r="T13" s="1">
        <f>IF(T$4&lt;=核心参数输入!$B$9,销售与出租收入!T22*核心参数输入!$B$49,0)</f>
        <v>251.84452478093789</v>
      </c>
      <c r="U13" s="1">
        <f>IF(U$4&lt;=核心参数输入!$B$9,销售与出租收入!U22*核心参数输入!$B$49,0)</f>
        <v>255.62219265265199</v>
      </c>
      <c r="V13" s="1">
        <f>IF(V$4&lt;=核心参数输入!$B$9,销售与出租收入!V22*核心参数输入!$B$49,0)</f>
        <v>259.45652554244174</v>
      </c>
      <c r="W13" s="1">
        <f>IF(W$4&lt;=核心参数输入!$B$9,销售与出租收入!W22*核心参数输入!$B$49,0)</f>
        <v>263.34837342557825</v>
      </c>
      <c r="X13" s="1">
        <f>IF(X$4&lt;=核心参数输入!$B$9,销售与出租收入!X22*核心参数输入!$B$49,0)</f>
        <v>267.29859902696188</v>
      </c>
      <c r="Y13" s="1">
        <f>IF(Y$4&lt;=核心参数输入!$B$9,销售与出租收入!Y22*核心参数输入!$B$49,0)</f>
        <v>0</v>
      </c>
      <c r="Z13" s="1">
        <f>IF(Z$4&lt;=核心参数输入!$B$9,销售与出租收入!Z22*核心参数输入!$B$49,0)</f>
        <v>0</v>
      </c>
      <c r="AA13" s="1">
        <f>IF(AA$4&lt;=核心参数输入!$B$9,销售与出租收入!AA22*核心参数输入!$B$49,0)</f>
        <v>0</v>
      </c>
      <c r="AB13" s="1">
        <f>IF(AB$4&lt;=核心参数输入!$B$9,销售与出租收入!AB22*核心参数输入!$B$49,0)</f>
        <v>0</v>
      </c>
      <c r="AC13" s="1">
        <f>IF(AC$4&lt;=核心参数输入!$B$9,销售与出租收入!AC22*核心参数输入!$B$49,0)</f>
        <v>0</v>
      </c>
      <c r="AD13" s="1">
        <f>IF(AD$4&lt;=核心参数输入!$B$9,销售与出租收入!AD22*核心参数输入!$B$49,0)</f>
        <v>0</v>
      </c>
      <c r="AE13" s="1">
        <f>IF(AE$4&lt;=核心参数输入!$B$9,销售与出租收入!AE22*核心参数输入!$B$49,0)</f>
        <v>0</v>
      </c>
      <c r="AF13" s="1">
        <f>IF(AF$4&lt;=核心参数输入!$B$9,销售与出租收入!AF22*核心参数输入!$B$49,0)</f>
        <v>0</v>
      </c>
      <c r="AG13" s="1">
        <f>IF(AG$4&lt;=核心参数输入!$B$9,销售与出租收入!AG22*核心参数输入!$B$49,0)</f>
        <v>0</v>
      </c>
      <c r="AH13" s="1">
        <f>IF(AH$4&lt;=核心参数输入!$B$9,销售与出租收入!AH22*核心参数输入!$B$49,0)</f>
        <v>0</v>
      </c>
    </row>
    <row r="14" spans="1:34" ht="21" customHeight="1">
      <c r="A14" s="11" t="s">
        <v>242</v>
      </c>
      <c r="B14" s="11" t="s">
        <v>54</v>
      </c>
      <c r="D14" s="1">
        <f>IF(D$4&lt;=核心参数输入!$B$9,IF(D$4-核心参数输入!$B$16&gt;0,核心参数输入!$B$50,0),0)</f>
        <v>0</v>
      </c>
      <c r="E14" s="1">
        <f>IF(E$4&lt;=核心参数输入!$B$9,IF(E$4-核心参数输入!$B$16&gt;0,核心参数输入!$B$50,0),0)</f>
        <v>0</v>
      </c>
      <c r="F14" s="1">
        <f>IF(F$4&lt;=核心参数输入!$B$9,IF(F$4-核心参数输入!$B$16&gt;0,核心参数输入!$B$50,0),0)</f>
        <v>0</v>
      </c>
      <c r="G14" s="1">
        <f>IF(G$4&lt;=核心参数输入!$B$9,IF(G$4-核心参数输入!$B$16&gt;0,核心参数输入!$B$50,0),0)</f>
        <v>0</v>
      </c>
      <c r="H14" s="1">
        <f>IF(H$4&lt;=核心参数输入!$B$9,IF(H$4-核心参数输入!$B$16&gt;0,核心参数输入!$B$50,0),0)</f>
        <v>180</v>
      </c>
      <c r="I14" s="1">
        <f>IF(I$4&lt;=核心参数输入!$B$9,IF(I$4-核心参数输入!$B$16&gt;0,核心参数输入!$B$50,0),0)</f>
        <v>180</v>
      </c>
      <c r="J14" s="1">
        <f>IF(J$4&lt;=核心参数输入!$B$9,IF(J$4-核心参数输入!$B$16&gt;0,核心参数输入!$B$50,0),0)</f>
        <v>180</v>
      </c>
      <c r="K14" s="1">
        <f>IF(K$4&lt;=核心参数输入!$B$9,IF(K$4-核心参数输入!$B$16&gt;0,核心参数输入!$B$50,0),0)</f>
        <v>180</v>
      </c>
      <c r="L14" s="1">
        <f>IF(L$4&lt;=核心参数输入!$B$9,IF(L$4-核心参数输入!$B$16&gt;0,核心参数输入!$B$50,0),0)</f>
        <v>180</v>
      </c>
      <c r="M14" s="1">
        <f>IF(M$4&lt;=核心参数输入!$B$9,IF(M$4-核心参数输入!$B$16&gt;0,核心参数输入!$B$50,0),0)</f>
        <v>180</v>
      </c>
      <c r="N14" s="1">
        <f>IF(N$4&lt;=核心参数输入!$B$9,IF(N$4-核心参数输入!$B$16&gt;0,核心参数输入!$B$50,0),0)</f>
        <v>180</v>
      </c>
      <c r="O14" s="1">
        <f>IF(O$4&lt;=核心参数输入!$B$9,IF(O$4-核心参数输入!$B$16&gt;0,核心参数输入!$B$50,0),0)</f>
        <v>180</v>
      </c>
      <c r="P14" s="1">
        <f>IF(P$4&lt;=核心参数输入!$B$9,IF(P$4-核心参数输入!$B$16&gt;0,核心参数输入!$B$50,0),0)</f>
        <v>180</v>
      </c>
      <c r="Q14" s="1">
        <f>IF(Q$4&lt;=核心参数输入!$B$9,IF(Q$4-核心参数输入!$B$16&gt;0,核心参数输入!$B$50,0),0)</f>
        <v>180</v>
      </c>
      <c r="R14" s="1">
        <f>IF(R$4&lt;=核心参数输入!$B$9,IF(R$4-核心参数输入!$B$16&gt;0,核心参数输入!$B$50,0),0)</f>
        <v>180</v>
      </c>
      <c r="S14" s="1">
        <f>IF(S$4&lt;=核心参数输入!$B$9,IF(S$4-核心参数输入!$B$16&gt;0,核心参数输入!$B$50,0),0)</f>
        <v>180</v>
      </c>
      <c r="T14" s="1">
        <f>IF(T$4&lt;=核心参数输入!$B$9,IF(T$4-核心参数输入!$B$16&gt;0,核心参数输入!$B$50,0),0)</f>
        <v>180</v>
      </c>
      <c r="U14" s="1">
        <f>IF(U$4&lt;=核心参数输入!$B$9,IF(U$4-核心参数输入!$B$16&gt;0,核心参数输入!$B$50,0),0)</f>
        <v>180</v>
      </c>
      <c r="V14" s="1">
        <f>IF(V$4&lt;=核心参数输入!$B$9,IF(V$4-核心参数输入!$B$16&gt;0,核心参数输入!$B$50,0),0)</f>
        <v>180</v>
      </c>
      <c r="W14" s="1">
        <f>IF(W$4&lt;=核心参数输入!$B$9,IF(W$4-核心参数输入!$B$16&gt;0,核心参数输入!$B$50,0),0)</f>
        <v>180</v>
      </c>
      <c r="X14" s="1">
        <f>IF(X$4&lt;=核心参数输入!$B$9,IF(X$4-核心参数输入!$B$16&gt;0,核心参数输入!$B$50,0),0)</f>
        <v>180</v>
      </c>
      <c r="Y14" s="1">
        <f>IF(Y$4&lt;=核心参数输入!$B$9,IF(Y$4-核心参数输入!$B$16&gt;0,核心参数输入!$B$50,0),0)</f>
        <v>0</v>
      </c>
      <c r="Z14" s="1">
        <f>IF(Z$4&lt;=核心参数输入!$B$9,IF(Z$4-核心参数输入!$B$16&gt;0,核心参数输入!$B$50,0),0)</f>
        <v>0</v>
      </c>
      <c r="AA14" s="1">
        <f>IF(AA$4&lt;=核心参数输入!$B$9,IF(AA$4-核心参数输入!$B$16&gt;0,核心参数输入!$B$50,0),0)</f>
        <v>0</v>
      </c>
      <c r="AB14" s="1">
        <f>IF(AB$4&lt;=核心参数输入!$B$9,IF(AB$4-核心参数输入!$B$16&gt;0,核心参数输入!$B$50,0),0)</f>
        <v>0</v>
      </c>
      <c r="AC14" s="1">
        <f>IF(AC$4&lt;=核心参数输入!$B$9,IF(AC$4-核心参数输入!$B$16&gt;0,核心参数输入!$B$50,0),0)</f>
        <v>0</v>
      </c>
      <c r="AD14" s="1">
        <f>IF(AD$4&lt;=核心参数输入!$B$9,IF(AD$4-核心参数输入!$B$16&gt;0,核心参数输入!$B$50,0),0)</f>
        <v>0</v>
      </c>
      <c r="AE14" s="1">
        <f>IF(AE$4&lt;=核心参数输入!$B$9,IF(AE$4-核心参数输入!$B$16&gt;0,核心参数输入!$B$50,0),0)</f>
        <v>0</v>
      </c>
      <c r="AF14" s="1">
        <f>IF(AF$4&lt;=核心参数输入!$B$9,IF(AF$4-核心参数输入!$B$16&gt;0,核心参数输入!$B$50,0),0)</f>
        <v>0</v>
      </c>
      <c r="AG14" s="1">
        <f>IF(AG$4&lt;=核心参数输入!$B$9,IF(AG$4-核心参数输入!$B$16&gt;0,核心参数输入!$B$50,0),0)</f>
        <v>0</v>
      </c>
      <c r="AH14" s="1">
        <f>IF(AH$4&lt;=核心参数输入!$B$9,IF(AH$4-核心参数输入!$B$16&gt;0,核心参数输入!$B$50,0),0)</f>
        <v>0</v>
      </c>
    </row>
    <row r="15" spans="1:34" ht="21" customHeight="1">
      <c r="A15" s="11" t="s">
        <v>243</v>
      </c>
      <c r="B15" s="11" t="s">
        <v>54</v>
      </c>
      <c r="D15" s="1">
        <f>IF(D$4&lt;=核心参数输入!$B$9,销售与出租收入!D22*核心参数输入!$B$51,0)</f>
        <v>0</v>
      </c>
      <c r="E15" s="1">
        <f>IF(E$4&lt;=核心参数输入!$B$9,销售与出租收入!E22*核心参数输入!$B$51,0)</f>
        <v>0</v>
      </c>
      <c r="F15" s="1">
        <f>IF(F$4&lt;=核心参数输入!$B$9,销售与出租收入!F22*核心参数输入!$B$51,0)</f>
        <v>0</v>
      </c>
      <c r="G15" s="1">
        <f>IF(G$4&lt;=核心参数输入!$B$9,销售与出租收入!G22*核心参数输入!$B$51,0)</f>
        <v>0</v>
      </c>
      <c r="H15" s="1">
        <f>IF(H$4&lt;=核心参数输入!$B$9,销售与出租收入!H22*核心参数输入!$B$51,0)</f>
        <v>43.883248499999993</v>
      </c>
      <c r="I15" s="1">
        <f>IF(I$4&lt;=核心参数输入!$B$9,销售与出租收入!I22*核心参数输入!$B$51,0)</f>
        <v>77.205261860999968</v>
      </c>
      <c r="J15" s="1">
        <f>IF(J$4&lt;=核心参数输入!$B$9,销售与出租收入!J22*核心参数输入!$B$51,0)</f>
        <v>97.95417598614371</v>
      </c>
      <c r="K15" s="1">
        <f>IF(K$4&lt;=核心参数输入!$B$9,销售与出租收入!K22*核心参数输入!$B$51,0)</f>
        <v>108.60104142217608</v>
      </c>
      <c r="L15" s="1">
        <f>IF(L$4&lt;=核心参数输入!$B$9,销售与出租收入!L22*核心参数输入!$B$51,0)</f>
        <v>111.78259305820602</v>
      </c>
      <c r="M15" s="1">
        <f>IF(M$4&lt;=核心参数输入!$B$9,销售与出租收入!M22*核心参数输入!$B$51,0)</f>
        <v>113.45933195407909</v>
      </c>
      <c r="N15" s="1">
        <f>IF(N$4&lt;=核心参数输入!$B$9,销售与出租收入!N22*核心参数输入!$B$51,0)</f>
        <v>115.16122193339025</v>
      </c>
      <c r="O15" s="1">
        <f>IF(O$4&lt;=核心参数输入!$B$9,销售与出租收入!O22*核心参数输入!$B$51,0)</f>
        <v>116.88864026239109</v>
      </c>
      <c r="P15" s="1">
        <f>IF(P$4&lt;=核心参数输入!$B$9,销售与出租收入!P22*核心参数输入!$B$51,0)</f>
        <v>118.64196986632695</v>
      </c>
      <c r="Q15" s="1">
        <f>IF(Q$4&lt;=核心参数输入!$B$9,销售与出租收入!Q22*核心参数输入!$B$51,0)</f>
        <v>120.42159941432183</v>
      </c>
      <c r="R15" s="1">
        <f>IF(R$4&lt;=核心参数输入!$B$9,销售与出租收入!R22*核心参数输入!$B$51,0)</f>
        <v>122.22792340553664</v>
      </c>
      <c r="S15" s="1">
        <f>IF(S$4&lt;=核心参数输入!$B$9,销售与出租收入!S22*核心参数输入!$B$51,0)</f>
        <v>124.06134225661967</v>
      </c>
      <c r="T15" s="1">
        <f>IF(T$4&lt;=核心参数输入!$B$9,销售与出租收入!T22*核心参数输入!$B$51,0)</f>
        <v>125.92226239046894</v>
      </c>
      <c r="U15" s="1">
        <f>IF(U$4&lt;=核心参数输入!$B$9,销售与出租收入!U22*核心参数输入!$B$51,0)</f>
        <v>127.81109632632599</v>
      </c>
      <c r="V15" s="1">
        <f>IF(V$4&lt;=核心参数输入!$B$9,销售与出租收入!V22*核心参数输入!$B$51,0)</f>
        <v>129.72826277122087</v>
      </c>
      <c r="W15" s="1">
        <f>IF(W$4&lt;=核心参数输入!$B$9,销售与出租收入!W22*核心参数输入!$B$51,0)</f>
        <v>131.67418671278912</v>
      </c>
      <c r="X15" s="1">
        <f>IF(X$4&lt;=核心参数输入!$B$9,销售与出租收入!X22*核心参数输入!$B$51,0)</f>
        <v>133.64929951348094</v>
      </c>
      <c r="Y15" s="1">
        <f>IF(Y$4&lt;=核心参数输入!$B$9,销售与出租收入!Y22*核心参数输入!$B$51,0)</f>
        <v>0</v>
      </c>
      <c r="Z15" s="1">
        <f>IF(Z$4&lt;=核心参数输入!$B$9,销售与出租收入!Z22*核心参数输入!$B$51,0)</f>
        <v>0</v>
      </c>
      <c r="AA15" s="1">
        <f>IF(AA$4&lt;=核心参数输入!$B$9,销售与出租收入!AA22*核心参数输入!$B$51,0)</f>
        <v>0</v>
      </c>
      <c r="AB15" s="1">
        <f>IF(AB$4&lt;=核心参数输入!$B$9,销售与出租收入!AB22*核心参数输入!$B$51,0)</f>
        <v>0</v>
      </c>
      <c r="AC15" s="1">
        <f>IF(AC$4&lt;=核心参数输入!$B$9,销售与出租收入!AC22*核心参数输入!$B$51,0)</f>
        <v>0</v>
      </c>
      <c r="AD15" s="1">
        <f>IF(AD$4&lt;=核心参数输入!$B$9,销售与出租收入!AD22*核心参数输入!$B$51,0)</f>
        <v>0</v>
      </c>
      <c r="AE15" s="1">
        <f>IF(AE$4&lt;=核心参数输入!$B$9,销售与出租收入!AE22*核心参数输入!$B$51,0)</f>
        <v>0</v>
      </c>
      <c r="AF15" s="1">
        <f>IF(AF$4&lt;=核心参数输入!$B$9,销售与出租收入!AF22*核心参数输入!$B$51,0)</f>
        <v>0</v>
      </c>
      <c r="AG15" s="1">
        <f>IF(AG$4&lt;=核心参数输入!$B$9,销售与出租收入!AG22*核心参数输入!$B$51,0)</f>
        <v>0</v>
      </c>
      <c r="AH15" s="1">
        <f>IF(AH$4&lt;=核心参数输入!$B$9,销售与出租收入!AH22*核心参数输入!$B$51,0)</f>
        <v>0</v>
      </c>
    </row>
    <row r="16" spans="1:34" ht="21" customHeight="1">
      <c r="A16" s="11" t="s">
        <v>244</v>
      </c>
      <c r="B16" s="11" t="s">
        <v>54</v>
      </c>
      <c r="D16" s="1">
        <f>IF(D$4&lt;=核心参数输入!$B$9,SUM(D10:D15),0)</f>
        <v>0</v>
      </c>
      <c r="E16" s="1">
        <f>IF(E$4&lt;=核心参数输入!$B$9,SUM(E10:E15),0)</f>
        <v>0</v>
      </c>
      <c r="F16" s="1">
        <f>IF(F$4&lt;=核心参数输入!$B$9,SUM(F10:F15),0)</f>
        <v>0</v>
      </c>
      <c r="G16" s="1">
        <f>IF(G$4&lt;=核心参数输入!$B$9,SUM(G10:G15),0)</f>
        <v>0</v>
      </c>
      <c r="H16" s="1">
        <f>IF(H$4&lt;=核心参数输入!$B$9,SUM(H10:H15),0)</f>
        <v>2131.9184954999996</v>
      </c>
      <c r="I16" s="1">
        <f>IF(I$4&lt;=核心参数输入!$B$9,SUM(I10:I15),0)</f>
        <v>2744.6407855830003</v>
      </c>
      <c r="J16" s="1">
        <f>IF(J$4&lt;=核心参数输入!$B$9,SUM(J10:J15),0)</f>
        <v>2306.2512779584308</v>
      </c>
      <c r="K16" s="1">
        <f>IF(K$4&lt;=核心参数输入!$B$9,SUM(K10:K15),0)</f>
        <v>824.16552426652822</v>
      </c>
      <c r="L16" s="1">
        <f>IF(L$4&lt;=核心参数输入!$B$9,SUM(L10:L15),0)</f>
        <v>840.07742717461804</v>
      </c>
      <c r="M16" s="1">
        <f>IF(M$4&lt;=核心参数输入!$B$9,SUM(M10:M15),0)</f>
        <v>851.60223682223727</v>
      </c>
      <c r="N16" s="1">
        <f>IF(N$4&lt;=核心参数输入!$B$9,SUM(N10:N15),0)</f>
        <v>863.33239157937078</v>
      </c>
      <c r="O16" s="1">
        <f>IF(O$4&lt;=核心参数输入!$B$9,SUM(O10:O15),0)</f>
        <v>875.27162108195716</v>
      </c>
      <c r="P16" s="1">
        <f>IF(P$4&lt;=核心参数输入!$B$9,SUM(P10:P15),0)</f>
        <v>887.42372389966044</v>
      </c>
      <c r="Q16" s="1">
        <f>IF(Q$4&lt;=核心参数输入!$B$9,SUM(Q10:Q15),0)</f>
        <v>899.79256882965876</v>
      </c>
      <c r="R16" s="1">
        <f>IF(R$4&lt;=核心参数输入!$B$9,SUM(R10:R15),0)</f>
        <v>912.38209621503711</v>
      </c>
      <c r="S16" s="1">
        <f>IF(S$4&lt;=核心参数输入!$B$9,SUM(S10:S15),0)</f>
        <v>925.19631928825459</v>
      </c>
      <c r="T16" s="1">
        <f>IF(T$4&lt;=核心参数输入!$B$9,SUM(T10:T15),0)</f>
        <v>938.2393255401704</v>
      </c>
      <c r="U16" s="1">
        <f>IF(U$4&lt;=核心参数输入!$B$9,SUM(U10:U15),0)</f>
        <v>951.51527811511687</v>
      </c>
      <c r="V16" s="1">
        <f>IF(V$4&lt;=核心参数输入!$B$9,SUM(V10:V15),0)</f>
        <v>965.02841723252436</v>
      </c>
      <c r="W16" s="1">
        <f>IF(W$4&lt;=核心参数输入!$B$9,SUM(W10:W15),0)</f>
        <v>978.78306163560615</v>
      </c>
      <c r="X16" s="1">
        <f>IF(X$4&lt;=核心参数输入!$B$9,SUM(X10:X15),0)</f>
        <v>992.78361006762646</v>
      </c>
      <c r="Y16" s="1">
        <f>IF(Y$4&lt;=核心参数输入!$B$9,SUM(Y10:Y15),0)</f>
        <v>0</v>
      </c>
      <c r="Z16" s="1">
        <f>IF(Z$4&lt;=核心参数输入!$B$9,SUM(Z10:Z15),0)</f>
        <v>0</v>
      </c>
      <c r="AA16" s="1">
        <f>IF(AA$4&lt;=核心参数输入!$B$9,SUM(AA10:AA15),0)</f>
        <v>0</v>
      </c>
      <c r="AB16" s="1">
        <f>IF(AB$4&lt;=核心参数输入!$B$9,SUM(AB10:AB15),0)</f>
        <v>0</v>
      </c>
      <c r="AC16" s="1">
        <f>IF(AC$4&lt;=核心参数输入!$B$9,SUM(AC10:AC15),0)</f>
        <v>0</v>
      </c>
      <c r="AD16" s="1">
        <f>IF(AD$4&lt;=核心参数输入!$B$9,SUM(AD10:AD15),0)</f>
        <v>0</v>
      </c>
      <c r="AE16" s="1">
        <f>IF(AE$4&lt;=核心参数输入!$B$9,SUM(AE10:AE15),0)</f>
        <v>0</v>
      </c>
      <c r="AF16" s="1">
        <f>IF(AF$4&lt;=核心参数输入!$B$9,SUM(AF10:AF15),0)</f>
        <v>0</v>
      </c>
      <c r="AG16" s="1">
        <f>IF(AG$4&lt;=核心参数输入!$B$9,SUM(AG10:AG15),0)</f>
        <v>0</v>
      </c>
      <c r="AH16" s="1">
        <f>IF(AH$4&lt;=核心参数输入!$B$9,SUM(AH10:AH15),0)</f>
        <v>0</v>
      </c>
    </row>
    <row r="17" spans="1:34" ht="21" customHeight="1">
      <c r="A17" s="11" t="s">
        <v>245</v>
      </c>
      <c r="B17" s="11" t="s">
        <v>54</v>
      </c>
      <c r="D17" s="1">
        <f>IF(D$4&lt;=核心参数输入!$B$9,投资与资金安排!$B$19*建筑面积与开发计划!D21,0)</f>
        <v>0</v>
      </c>
      <c r="E17" s="1">
        <f>IF(E$4&lt;=核心参数输入!$B$9,投资与资金安排!$B$19*建筑面积与开发计划!E21,0)</f>
        <v>0</v>
      </c>
      <c r="F17" s="1">
        <f>IF(F$4&lt;=核心参数输入!$B$9,投资与资金安排!$B$19*建筑面积与开发计划!F21,0)</f>
        <v>0</v>
      </c>
      <c r="G17" s="1">
        <f>IF(G$4&lt;=核心参数输入!$B$9,投资与资金安排!$B$19*建筑面积与开发计划!G21,0)</f>
        <v>0</v>
      </c>
      <c r="H17" s="1">
        <f>IF(H$4&lt;=核心参数输入!$B$9,投资与资金安排!$B$19*建筑面积与开发计划!H21,0)</f>
        <v>10051.799999999999</v>
      </c>
      <c r="I17" s="1">
        <f>IF(I$4&lt;=核心参数输入!$B$9,投资与资金安排!$B$19*建筑面积与开发计划!I21,0)</f>
        <v>13402.400000000001</v>
      </c>
      <c r="J17" s="1">
        <f>IF(J$4&lt;=核心参数输入!$B$9,投资与资金安排!$B$19*建筑面积与开发计划!J21,0)</f>
        <v>10051.799999999999</v>
      </c>
      <c r="K17" s="1">
        <f>IF(K$4&lt;=核心参数输入!$B$9,投资与资金安排!$B$19*建筑面积与开发计划!K21,0)</f>
        <v>0</v>
      </c>
      <c r="L17" s="1">
        <f>IF(L$4&lt;=核心参数输入!$B$9,投资与资金安排!$B$19*建筑面积与开发计划!L21,0)</f>
        <v>0</v>
      </c>
      <c r="M17" s="1">
        <f>IF(M$4&lt;=核心参数输入!$B$9,投资与资金安排!$B$19*建筑面积与开发计划!M21,0)</f>
        <v>0</v>
      </c>
      <c r="N17" s="1">
        <f>IF(N$4&lt;=核心参数输入!$B$9,投资与资金安排!$B$19*建筑面积与开发计划!N21,0)</f>
        <v>0</v>
      </c>
      <c r="O17" s="1">
        <f>IF(O$4&lt;=核心参数输入!$B$9,投资与资金安排!$B$19*建筑面积与开发计划!O21,0)</f>
        <v>0</v>
      </c>
      <c r="P17" s="1">
        <f>IF(P$4&lt;=核心参数输入!$B$9,投资与资金安排!$B$19*建筑面积与开发计划!P21,0)</f>
        <v>0</v>
      </c>
      <c r="Q17" s="1">
        <f>IF(Q$4&lt;=核心参数输入!$B$9,投资与资金安排!$B$19*建筑面积与开发计划!Q21,0)</f>
        <v>0</v>
      </c>
      <c r="R17" s="1">
        <f>IF(R$4&lt;=核心参数输入!$B$9,投资与资金安排!$B$19*建筑面积与开发计划!R21,0)</f>
        <v>0</v>
      </c>
      <c r="S17" s="1">
        <f>IF(S$4&lt;=核心参数输入!$B$9,投资与资金安排!$B$19*建筑面积与开发计划!S21,0)</f>
        <v>0</v>
      </c>
      <c r="T17" s="1">
        <f>IF(T$4&lt;=核心参数输入!$B$9,投资与资金安排!$B$19*建筑面积与开发计划!T21,0)</f>
        <v>0</v>
      </c>
      <c r="U17" s="1">
        <f>IF(U$4&lt;=核心参数输入!$B$9,投资与资金安排!$B$19*建筑面积与开发计划!U21,0)</f>
        <v>0</v>
      </c>
      <c r="V17" s="1">
        <f>IF(V$4&lt;=核心参数输入!$B$9,投资与资金安排!$B$19*建筑面积与开发计划!V21,0)</f>
        <v>0</v>
      </c>
      <c r="W17" s="1">
        <f>IF(W$4&lt;=核心参数输入!$B$9,投资与资金安排!$B$19*建筑面积与开发计划!W21,0)</f>
        <v>0</v>
      </c>
      <c r="X17" s="1">
        <f>IF(X$4&lt;=核心参数输入!$B$9,投资与资金安排!$B$19*建筑面积与开发计划!X21,0)</f>
        <v>0</v>
      </c>
      <c r="Y17" s="1">
        <f>IF(Y$4&lt;=核心参数输入!$B$9,投资与资金安排!$B$19*建筑面积与开发计划!Y21,0)</f>
        <v>0</v>
      </c>
      <c r="Z17" s="1">
        <f>IF(Z$4&lt;=核心参数输入!$B$9,投资与资金安排!$B$19*建筑面积与开发计划!Z21,0)</f>
        <v>0</v>
      </c>
      <c r="AA17" s="1">
        <f>IF(AA$4&lt;=核心参数输入!$B$9,投资与资金安排!$B$19*建筑面积与开发计划!AA21,0)</f>
        <v>0</v>
      </c>
      <c r="AB17" s="1">
        <f>IF(AB$4&lt;=核心参数输入!$B$9,投资与资金安排!$B$19*建筑面积与开发计划!AB21,0)</f>
        <v>0</v>
      </c>
      <c r="AC17" s="1">
        <f>IF(AC$4&lt;=核心参数输入!$B$9,投资与资金安排!$B$19*建筑面积与开发计划!AC21,0)</f>
        <v>0</v>
      </c>
      <c r="AD17" s="1">
        <f>IF(AD$4&lt;=核心参数输入!$B$9,投资与资金安排!$B$19*建筑面积与开发计划!AD21,0)</f>
        <v>0</v>
      </c>
      <c r="AE17" s="1">
        <f>IF(AE$4&lt;=核心参数输入!$B$9,投资与资金安排!$B$19*建筑面积与开发计划!AE21,0)</f>
        <v>0</v>
      </c>
      <c r="AF17" s="1">
        <f>IF(AF$4&lt;=核心参数输入!$B$9,投资与资金安排!$B$19*建筑面积与开发计划!AF21,0)</f>
        <v>0</v>
      </c>
      <c r="AG17" s="1">
        <f>IF(AG$4&lt;=核心参数输入!$B$9,投资与资金安排!$B$19*建筑面积与开发计划!AG21,0)</f>
        <v>0</v>
      </c>
      <c r="AH17" s="1">
        <f>IF(AH$4&lt;=核心参数输入!$B$9,投资与资金安排!$B$19*建筑面积与开发计划!AH21,0)</f>
        <v>0</v>
      </c>
    </row>
    <row r="18" spans="1:34" ht="21" customHeight="1">
      <c r="A18" s="11" t="s">
        <v>246</v>
      </c>
      <c r="B18" s="11" t="s">
        <v>54</v>
      </c>
      <c r="D18" s="1">
        <f>IF(D$4&lt;=核心参数输入!$B$9,投资与资金安排!$B$22*建筑面积与开发计划!D21,0)</f>
        <v>0</v>
      </c>
      <c r="E18" s="1">
        <f>IF(E$4&lt;=核心参数输入!$B$9,投资与资金安排!$B$22*建筑面积与开发计划!E21,0)</f>
        <v>0</v>
      </c>
      <c r="F18" s="1">
        <f>IF(F$4&lt;=核心参数输入!$B$9,投资与资金安排!$B$22*建筑面积与开发计划!F21,0)</f>
        <v>0</v>
      </c>
      <c r="G18" s="1">
        <f>IF(G$4&lt;=核心参数输入!$B$9,投资与资金安排!$B$22*建筑面积与开发计划!G21,0)</f>
        <v>0</v>
      </c>
      <c r="H18" s="1">
        <f>IF(H$4&lt;=核心参数输入!$B$9,投资与资金安排!$B$22*建筑面积与开发计划!H21,0)</f>
        <v>10363.65</v>
      </c>
      <c r="I18" s="1">
        <f>IF(I$4&lt;=核心参数输入!$B$9,投资与资金安排!$B$22*建筑面积与开发计划!I21,0)</f>
        <v>13818.2</v>
      </c>
      <c r="J18" s="1">
        <f>IF(J$4&lt;=核心参数输入!$B$9,投资与资金安排!$B$22*建筑面积与开发计划!J21,0)</f>
        <v>10363.65</v>
      </c>
      <c r="K18" s="1">
        <f>IF(K$4&lt;=核心参数输入!$B$9,投资与资金安排!$B$22*建筑面积与开发计划!K21,0)</f>
        <v>0</v>
      </c>
      <c r="L18" s="1">
        <f>IF(L$4&lt;=核心参数输入!$B$9,投资与资金安排!$B$22*建筑面积与开发计划!L21,0)</f>
        <v>0</v>
      </c>
      <c r="M18" s="1">
        <f>IF(M$4&lt;=核心参数输入!$B$9,投资与资金安排!$B$22*建筑面积与开发计划!M21,0)</f>
        <v>0</v>
      </c>
      <c r="N18" s="1">
        <f>IF(N$4&lt;=核心参数输入!$B$9,投资与资金安排!$B$22*建筑面积与开发计划!N21,0)</f>
        <v>0</v>
      </c>
      <c r="O18" s="1">
        <f>IF(O$4&lt;=核心参数输入!$B$9,投资与资金安排!$B$22*建筑面积与开发计划!O21,0)</f>
        <v>0</v>
      </c>
      <c r="P18" s="1">
        <f>IF(P$4&lt;=核心参数输入!$B$9,投资与资金安排!$B$22*建筑面积与开发计划!P21,0)</f>
        <v>0</v>
      </c>
      <c r="Q18" s="1">
        <f>IF(Q$4&lt;=核心参数输入!$B$9,投资与资金安排!$B$22*建筑面积与开发计划!Q21,0)</f>
        <v>0</v>
      </c>
      <c r="R18" s="1">
        <f>IF(R$4&lt;=核心参数输入!$B$9,投资与资金安排!$B$22*建筑面积与开发计划!R21,0)</f>
        <v>0</v>
      </c>
      <c r="S18" s="1">
        <f>IF(S$4&lt;=核心参数输入!$B$9,投资与资金安排!$B$22*建筑面积与开发计划!S21,0)</f>
        <v>0</v>
      </c>
      <c r="T18" s="1">
        <f>IF(T$4&lt;=核心参数输入!$B$9,投资与资金安排!$B$22*建筑面积与开发计划!T21,0)</f>
        <v>0</v>
      </c>
      <c r="U18" s="1">
        <f>IF(U$4&lt;=核心参数输入!$B$9,投资与资金安排!$B$22*建筑面积与开发计划!U21,0)</f>
        <v>0</v>
      </c>
      <c r="V18" s="1">
        <f>IF(V$4&lt;=核心参数输入!$B$9,投资与资金安排!$B$22*建筑面积与开发计划!V21,0)</f>
        <v>0</v>
      </c>
      <c r="W18" s="1">
        <f>IF(W$4&lt;=核心参数输入!$B$9,投资与资金安排!$B$22*建筑面积与开发计划!W21,0)</f>
        <v>0</v>
      </c>
      <c r="X18" s="1">
        <f>IF(X$4&lt;=核心参数输入!$B$9,投资与资金安排!$B$22*建筑面积与开发计划!X21,0)</f>
        <v>0</v>
      </c>
      <c r="Y18" s="1">
        <f>IF(Y$4&lt;=核心参数输入!$B$9,投资与资金安排!$B$22*建筑面积与开发计划!Y21,0)</f>
        <v>0</v>
      </c>
      <c r="Z18" s="1">
        <f>IF(Z$4&lt;=核心参数输入!$B$9,投资与资金安排!$B$22*建筑面积与开发计划!Z21,0)</f>
        <v>0</v>
      </c>
      <c r="AA18" s="1">
        <f>IF(AA$4&lt;=核心参数输入!$B$9,投资与资金安排!$B$22*建筑面积与开发计划!AA21,0)</f>
        <v>0</v>
      </c>
      <c r="AB18" s="1">
        <f>IF(AB$4&lt;=核心参数输入!$B$9,投资与资金安排!$B$22*建筑面积与开发计划!AB21,0)</f>
        <v>0</v>
      </c>
      <c r="AC18" s="1">
        <f>IF(AC$4&lt;=核心参数输入!$B$9,投资与资金安排!$B$22*建筑面积与开发计划!AC21,0)</f>
        <v>0</v>
      </c>
      <c r="AD18" s="1">
        <f>IF(AD$4&lt;=核心参数输入!$B$9,投资与资金安排!$B$22*建筑面积与开发计划!AD21,0)</f>
        <v>0</v>
      </c>
      <c r="AE18" s="1">
        <f>IF(AE$4&lt;=核心参数输入!$B$9,投资与资金安排!$B$22*建筑面积与开发计划!AE21,0)</f>
        <v>0</v>
      </c>
      <c r="AF18" s="1">
        <f>IF(AF$4&lt;=核心参数输入!$B$9,投资与资金安排!$B$22*建筑面积与开发计划!AF21,0)</f>
        <v>0</v>
      </c>
      <c r="AG18" s="1">
        <f>IF(AG$4&lt;=核心参数输入!$B$9,投资与资金安排!$B$22*建筑面积与开发计划!AG21,0)</f>
        <v>0</v>
      </c>
      <c r="AH18" s="1">
        <f>IF(AH$4&lt;=核心参数输入!$B$9,投资与资金安排!$B$22*建筑面积与开发计划!AH21,0)</f>
        <v>0</v>
      </c>
    </row>
    <row r="19" spans="1:34" ht="21" customHeight="1">
      <c r="A19" s="11" t="s">
        <v>247</v>
      </c>
      <c r="B19" s="11" t="s">
        <v>54</v>
      </c>
      <c r="D19" s="1">
        <f>IF(D$4&lt;=核心参数输入!$B$9,IF(AND(D$4-核心参数输入!$B$16&gt;0,D$4-核心参数输入!$B$16&lt;=核心参数输入!$B$53),投资与资金安排!$B$20*(1-核心参数输入!$B$54)/MAX(1,核心参数输入!$B$53),0),0)</f>
        <v>0</v>
      </c>
      <c r="E19" s="1">
        <f>IF(E$4&lt;=核心参数输入!$B$9,IF(AND(E$4-核心参数输入!$B$16&gt;0,E$4-核心参数输入!$B$16&lt;=核心参数输入!$B$53),投资与资金安排!$B$20*(1-核心参数输入!$B$54)/MAX(1,核心参数输入!$B$53),0),0)</f>
        <v>0</v>
      </c>
      <c r="F19" s="1">
        <f>IF(F$4&lt;=核心参数输入!$B$9,IF(AND(F$4-核心参数输入!$B$16&gt;0,F$4-核心参数输入!$B$16&lt;=核心参数输入!$B$53),投资与资金安排!$B$20*(1-核心参数输入!$B$54)/MAX(1,核心参数输入!$B$53),0),0)</f>
        <v>0</v>
      </c>
      <c r="G19" s="1">
        <f>IF(G$4&lt;=核心参数输入!$B$9,IF(AND(G$4-核心参数输入!$B$16&gt;0,G$4-核心参数输入!$B$16&lt;=核心参数输入!$B$53),投资与资金安排!$B$20*(1-核心参数输入!$B$54)/MAX(1,核心参数输入!$B$53),0),0)</f>
        <v>0</v>
      </c>
      <c r="H19" s="1">
        <f>IF(H$4&lt;=核心参数输入!$B$9,IF(AND(H$4-核心参数输入!$B$16&gt;0,H$4-核心参数输入!$B$16&lt;=核心参数输入!$B$53),投资与资金安排!$B$20*(1-核心参数输入!$B$54)/MAX(1,核心参数输入!$B$53),0),0)</f>
        <v>754.1099999999999</v>
      </c>
      <c r="I19" s="1">
        <f>IF(I$4&lt;=核心参数输入!$B$9,IF(AND(I$4-核心参数输入!$B$16&gt;0,I$4-核心参数输入!$B$16&lt;=核心参数输入!$B$53),投资与资金安排!$B$20*(1-核心参数输入!$B$54)/MAX(1,核心参数输入!$B$53),0),0)</f>
        <v>754.1099999999999</v>
      </c>
      <c r="J19" s="1">
        <f>IF(J$4&lt;=核心参数输入!$B$9,IF(AND(J$4-核心参数输入!$B$16&gt;0,J$4-核心参数输入!$B$16&lt;=核心参数输入!$B$53),投资与资金安排!$B$20*(1-核心参数输入!$B$54)/MAX(1,核心参数输入!$B$53),0),0)</f>
        <v>754.1099999999999</v>
      </c>
      <c r="K19" s="1">
        <f>IF(K$4&lt;=核心参数输入!$B$9,IF(AND(K$4-核心参数输入!$B$16&gt;0,K$4-核心参数输入!$B$16&lt;=核心参数输入!$B$53),投资与资金安排!$B$20*(1-核心参数输入!$B$54)/MAX(1,核心参数输入!$B$53),0),0)</f>
        <v>754.1099999999999</v>
      </c>
      <c r="L19" s="1">
        <f>IF(L$4&lt;=核心参数输入!$B$9,IF(AND(L$4-核心参数输入!$B$16&gt;0,L$4-核心参数输入!$B$16&lt;=核心参数输入!$B$53),投资与资金安排!$B$20*(1-核心参数输入!$B$54)/MAX(1,核心参数输入!$B$53),0),0)</f>
        <v>754.1099999999999</v>
      </c>
      <c r="M19" s="1">
        <f>IF(M$4&lt;=核心参数输入!$B$9,IF(AND(M$4-核心参数输入!$B$16&gt;0,M$4-核心参数输入!$B$16&lt;=核心参数输入!$B$53),投资与资金安排!$B$20*(1-核心参数输入!$B$54)/MAX(1,核心参数输入!$B$53),0),0)</f>
        <v>754.1099999999999</v>
      </c>
      <c r="N19" s="1">
        <f>IF(N$4&lt;=核心参数输入!$B$9,IF(AND(N$4-核心参数输入!$B$16&gt;0,N$4-核心参数输入!$B$16&lt;=核心参数输入!$B$53),投资与资金安排!$B$20*(1-核心参数输入!$B$54)/MAX(1,核心参数输入!$B$53),0),0)</f>
        <v>754.1099999999999</v>
      </c>
      <c r="O19" s="1">
        <f>IF(O$4&lt;=核心参数输入!$B$9,IF(AND(O$4-核心参数输入!$B$16&gt;0,O$4-核心参数输入!$B$16&lt;=核心参数输入!$B$53),投资与资金安排!$B$20*(1-核心参数输入!$B$54)/MAX(1,核心参数输入!$B$53),0),0)</f>
        <v>754.1099999999999</v>
      </c>
      <c r="P19" s="1">
        <f>IF(P$4&lt;=核心参数输入!$B$9,IF(AND(P$4-核心参数输入!$B$16&gt;0,P$4-核心参数输入!$B$16&lt;=核心参数输入!$B$53),投资与资金安排!$B$20*(1-核心参数输入!$B$54)/MAX(1,核心参数输入!$B$53),0),0)</f>
        <v>754.1099999999999</v>
      </c>
      <c r="Q19" s="1">
        <f>IF(Q$4&lt;=核心参数输入!$B$9,IF(AND(Q$4-核心参数输入!$B$16&gt;0,Q$4-核心参数输入!$B$16&lt;=核心参数输入!$B$53),投资与资金安排!$B$20*(1-核心参数输入!$B$54)/MAX(1,核心参数输入!$B$53),0),0)</f>
        <v>754.1099999999999</v>
      </c>
      <c r="R19" s="1">
        <f>IF(R$4&lt;=核心参数输入!$B$9,IF(AND(R$4-核心参数输入!$B$16&gt;0,R$4-核心参数输入!$B$16&lt;=核心参数输入!$B$53),投资与资金安排!$B$20*(1-核心参数输入!$B$54)/MAX(1,核心参数输入!$B$53),0),0)</f>
        <v>754.1099999999999</v>
      </c>
      <c r="S19" s="1">
        <f>IF(S$4&lt;=核心参数输入!$B$9,IF(AND(S$4-核心参数输入!$B$16&gt;0,S$4-核心参数输入!$B$16&lt;=核心参数输入!$B$53),投资与资金安排!$B$20*(1-核心参数输入!$B$54)/MAX(1,核心参数输入!$B$53),0),0)</f>
        <v>754.1099999999999</v>
      </c>
      <c r="T19" s="1">
        <f>IF(T$4&lt;=核心参数输入!$B$9,IF(AND(T$4-核心参数输入!$B$16&gt;0,T$4-核心参数输入!$B$16&lt;=核心参数输入!$B$53),投资与资金安排!$B$20*(1-核心参数输入!$B$54)/MAX(1,核心参数输入!$B$53),0),0)</f>
        <v>754.1099999999999</v>
      </c>
      <c r="U19" s="1">
        <f>IF(U$4&lt;=核心参数输入!$B$9,IF(AND(U$4-核心参数输入!$B$16&gt;0,U$4-核心参数输入!$B$16&lt;=核心参数输入!$B$53),投资与资金安排!$B$20*(1-核心参数输入!$B$54)/MAX(1,核心参数输入!$B$53),0),0)</f>
        <v>754.1099999999999</v>
      </c>
      <c r="V19" s="1">
        <f>IF(V$4&lt;=核心参数输入!$B$9,IF(AND(V$4-核心参数输入!$B$16&gt;0,V$4-核心参数输入!$B$16&lt;=核心参数输入!$B$53),投资与资金安排!$B$20*(1-核心参数输入!$B$54)/MAX(1,核心参数输入!$B$53),0),0)</f>
        <v>754.1099999999999</v>
      </c>
      <c r="W19" s="1">
        <f>IF(W$4&lt;=核心参数输入!$B$9,IF(AND(W$4-核心参数输入!$B$16&gt;0,W$4-核心参数输入!$B$16&lt;=核心参数输入!$B$53),投资与资金安排!$B$20*(1-核心参数输入!$B$54)/MAX(1,核心参数输入!$B$53),0),0)</f>
        <v>754.1099999999999</v>
      </c>
      <c r="X19" s="1">
        <f>IF(X$4&lt;=核心参数输入!$B$9,IF(AND(X$4-核心参数输入!$B$16&gt;0,X$4-核心参数输入!$B$16&lt;=核心参数输入!$B$53),投资与资金安排!$B$20*(1-核心参数输入!$B$54)/MAX(1,核心参数输入!$B$53),0),0)</f>
        <v>754.1099999999999</v>
      </c>
      <c r="Y19" s="1">
        <f>IF(Y$4&lt;=核心参数输入!$B$9,IF(AND(Y$4-核心参数输入!$B$16&gt;0,Y$4-核心参数输入!$B$16&lt;=核心参数输入!$B$53),投资与资金安排!$B$20*(1-核心参数输入!$B$54)/MAX(1,核心参数输入!$B$53),0),0)</f>
        <v>0</v>
      </c>
      <c r="Z19" s="1">
        <f>IF(Z$4&lt;=核心参数输入!$B$9,IF(AND(Z$4-核心参数输入!$B$16&gt;0,Z$4-核心参数输入!$B$16&lt;=核心参数输入!$B$53),投资与资金安排!$B$20*(1-核心参数输入!$B$54)/MAX(1,核心参数输入!$B$53),0),0)</f>
        <v>0</v>
      </c>
      <c r="AA19" s="1">
        <f>IF(AA$4&lt;=核心参数输入!$B$9,IF(AND(AA$4-核心参数输入!$B$16&gt;0,AA$4-核心参数输入!$B$16&lt;=核心参数输入!$B$53),投资与资金安排!$B$20*(1-核心参数输入!$B$54)/MAX(1,核心参数输入!$B$53),0),0)</f>
        <v>0</v>
      </c>
      <c r="AB19" s="1">
        <f>IF(AB$4&lt;=核心参数输入!$B$9,IF(AND(AB$4-核心参数输入!$B$16&gt;0,AB$4-核心参数输入!$B$16&lt;=核心参数输入!$B$53),投资与资金安排!$B$20*(1-核心参数输入!$B$54)/MAX(1,核心参数输入!$B$53),0),0)</f>
        <v>0</v>
      </c>
      <c r="AC19" s="1">
        <f>IF(AC$4&lt;=核心参数输入!$B$9,IF(AND(AC$4-核心参数输入!$B$16&gt;0,AC$4-核心参数输入!$B$16&lt;=核心参数输入!$B$53),投资与资金安排!$B$20*(1-核心参数输入!$B$54)/MAX(1,核心参数输入!$B$53),0),0)</f>
        <v>0</v>
      </c>
      <c r="AD19" s="1">
        <f>IF(AD$4&lt;=核心参数输入!$B$9,IF(AND(AD$4-核心参数输入!$B$16&gt;0,AD$4-核心参数输入!$B$16&lt;=核心参数输入!$B$53),投资与资金安排!$B$20*(1-核心参数输入!$B$54)/MAX(1,核心参数输入!$B$53),0),0)</f>
        <v>0</v>
      </c>
      <c r="AE19" s="1">
        <f>IF(AE$4&lt;=核心参数输入!$B$9,IF(AND(AE$4-核心参数输入!$B$16&gt;0,AE$4-核心参数输入!$B$16&lt;=核心参数输入!$B$53),投资与资金安排!$B$20*(1-核心参数输入!$B$54)/MAX(1,核心参数输入!$B$53),0),0)</f>
        <v>0</v>
      </c>
      <c r="AF19" s="1">
        <f>IF(AF$4&lt;=核心参数输入!$B$9,IF(AND(AF$4-核心参数输入!$B$16&gt;0,AF$4-核心参数输入!$B$16&lt;=核心参数输入!$B$53),投资与资金安排!$B$20*(1-核心参数输入!$B$54)/MAX(1,核心参数输入!$B$53),0),0)</f>
        <v>0</v>
      </c>
      <c r="AG19" s="1">
        <f>IF(AG$4&lt;=核心参数输入!$B$9,IF(AND(AG$4-核心参数输入!$B$16&gt;0,AG$4-核心参数输入!$B$16&lt;=核心参数输入!$B$53),投资与资金安排!$B$20*(1-核心参数输入!$B$54)/MAX(1,核心参数输入!$B$53),0),0)</f>
        <v>0</v>
      </c>
      <c r="AH19" s="1">
        <f>IF(AH$4&lt;=核心参数输入!$B$9,IF(AND(AH$4-核心参数输入!$B$16&gt;0,AH$4-核心参数输入!$B$16&lt;=核心参数输入!$B$53),投资与资金安排!$B$20*(1-核心参数输入!$B$54)/MAX(1,核心参数输入!$B$53),0),0)</f>
        <v>0</v>
      </c>
    </row>
    <row r="20" spans="1:34" ht="21" customHeight="1">
      <c r="A20" s="11" t="s">
        <v>248</v>
      </c>
      <c r="B20" s="11" t="s">
        <v>54</v>
      </c>
      <c r="D20" s="1">
        <f>IF(D$4&lt;=核心参数输入!$B$9,IF(AND(D$4-核心参数输入!$B$16&gt;0,D$4-核心参数输入!$B$16&lt;=核心参数输入!$B$53),投资与资金安排!$B$23*(1-核心参数输入!$B$54)/MAX(1,核心参数输入!$B$53),0),0)</f>
        <v>0</v>
      </c>
      <c r="E20" s="1">
        <f>IF(E$4&lt;=核心参数输入!$B$9,IF(AND(E$4-核心参数输入!$B$16&gt;0,E$4-核心参数输入!$B$16&lt;=核心参数输入!$B$53),投资与资金安排!$B$23*(1-核心参数输入!$B$54)/MAX(1,核心参数输入!$B$53),0),0)</f>
        <v>0</v>
      </c>
      <c r="F20" s="1">
        <f>IF(F$4&lt;=核心参数输入!$B$9,IF(AND(F$4-核心参数输入!$B$16&gt;0,F$4-核心参数输入!$B$16&lt;=核心参数输入!$B$53),投资与资金安排!$B$23*(1-核心参数输入!$B$54)/MAX(1,核心参数输入!$B$53),0),0)</f>
        <v>0</v>
      </c>
      <c r="G20" s="1">
        <f>IF(G$4&lt;=核心参数输入!$B$9,IF(AND(G$4-核心参数输入!$B$16&gt;0,G$4-核心参数输入!$B$16&lt;=核心参数输入!$B$53),投资与资金安排!$B$23*(1-核心参数输入!$B$54)/MAX(1,核心参数输入!$B$53),0),0)</f>
        <v>0</v>
      </c>
      <c r="H20" s="1">
        <f>IF(H$4&lt;=核心参数输入!$B$9,IF(AND(H$4-核心参数输入!$B$16&gt;0,H$4-核心参数输入!$B$16&lt;=核心参数输入!$B$53),投资与资金安排!$B$23*(1-核心参数输入!$B$54)/MAX(1,核心参数输入!$B$53),0),0)</f>
        <v>781.04249999999979</v>
      </c>
      <c r="I20" s="1">
        <f>IF(I$4&lt;=核心参数输入!$B$9,IF(AND(I$4-核心参数输入!$B$16&gt;0,I$4-核心参数输入!$B$16&lt;=核心参数输入!$B$53),投资与资金安排!$B$23*(1-核心参数输入!$B$54)/MAX(1,核心参数输入!$B$53),0),0)</f>
        <v>781.04249999999979</v>
      </c>
      <c r="J20" s="1">
        <f>IF(J$4&lt;=核心参数输入!$B$9,IF(AND(J$4-核心参数输入!$B$16&gt;0,J$4-核心参数输入!$B$16&lt;=核心参数输入!$B$53),投资与资金安排!$B$23*(1-核心参数输入!$B$54)/MAX(1,核心参数输入!$B$53),0),0)</f>
        <v>781.04249999999979</v>
      </c>
      <c r="K20" s="1">
        <f>IF(K$4&lt;=核心参数输入!$B$9,IF(AND(K$4-核心参数输入!$B$16&gt;0,K$4-核心参数输入!$B$16&lt;=核心参数输入!$B$53),投资与资金安排!$B$23*(1-核心参数输入!$B$54)/MAX(1,核心参数输入!$B$53),0),0)</f>
        <v>781.04249999999979</v>
      </c>
      <c r="L20" s="1">
        <f>IF(L$4&lt;=核心参数输入!$B$9,IF(AND(L$4-核心参数输入!$B$16&gt;0,L$4-核心参数输入!$B$16&lt;=核心参数输入!$B$53),投资与资金安排!$B$23*(1-核心参数输入!$B$54)/MAX(1,核心参数输入!$B$53),0),0)</f>
        <v>781.04249999999979</v>
      </c>
      <c r="M20" s="1">
        <f>IF(M$4&lt;=核心参数输入!$B$9,IF(AND(M$4-核心参数输入!$B$16&gt;0,M$4-核心参数输入!$B$16&lt;=核心参数输入!$B$53),投资与资金安排!$B$23*(1-核心参数输入!$B$54)/MAX(1,核心参数输入!$B$53),0),0)</f>
        <v>781.04249999999979</v>
      </c>
      <c r="N20" s="1">
        <f>IF(N$4&lt;=核心参数输入!$B$9,IF(AND(N$4-核心参数输入!$B$16&gt;0,N$4-核心参数输入!$B$16&lt;=核心参数输入!$B$53),投资与资金安排!$B$23*(1-核心参数输入!$B$54)/MAX(1,核心参数输入!$B$53),0),0)</f>
        <v>781.04249999999979</v>
      </c>
      <c r="O20" s="1">
        <f>IF(O$4&lt;=核心参数输入!$B$9,IF(AND(O$4-核心参数输入!$B$16&gt;0,O$4-核心参数输入!$B$16&lt;=核心参数输入!$B$53),投资与资金安排!$B$23*(1-核心参数输入!$B$54)/MAX(1,核心参数输入!$B$53),0),0)</f>
        <v>781.04249999999979</v>
      </c>
      <c r="P20" s="1">
        <f>IF(P$4&lt;=核心参数输入!$B$9,IF(AND(P$4-核心参数输入!$B$16&gt;0,P$4-核心参数输入!$B$16&lt;=核心参数输入!$B$53),投资与资金安排!$B$23*(1-核心参数输入!$B$54)/MAX(1,核心参数输入!$B$53),0),0)</f>
        <v>781.04249999999979</v>
      </c>
      <c r="Q20" s="1">
        <f>IF(Q$4&lt;=核心参数输入!$B$9,IF(AND(Q$4-核心参数输入!$B$16&gt;0,Q$4-核心参数输入!$B$16&lt;=核心参数输入!$B$53),投资与资金安排!$B$23*(1-核心参数输入!$B$54)/MAX(1,核心参数输入!$B$53),0),0)</f>
        <v>781.04249999999979</v>
      </c>
      <c r="R20" s="1">
        <f>IF(R$4&lt;=核心参数输入!$B$9,IF(AND(R$4-核心参数输入!$B$16&gt;0,R$4-核心参数输入!$B$16&lt;=核心参数输入!$B$53),投资与资金安排!$B$23*(1-核心参数输入!$B$54)/MAX(1,核心参数输入!$B$53),0),0)</f>
        <v>781.04249999999979</v>
      </c>
      <c r="S20" s="1">
        <f>IF(S$4&lt;=核心参数输入!$B$9,IF(AND(S$4-核心参数输入!$B$16&gt;0,S$4-核心参数输入!$B$16&lt;=核心参数输入!$B$53),投资与资金安排!$B$23*(1-核心参数输入!$B$54)/MAX(1,核心参数输入!$B$53),0),0)</f>
        <v>781.04249999999979</v>
      </c>
      <c r="T20" s="1">
        <f>IF(T$4&lt;=核心参数输入!$B$9,IF(AND(T$4-核心参数输入!$B$16&gt;0,T$4-核心参数输入!$B$16&lt;=核心参数输入!$B$53),投资与资金安排!$B$23*(1-核心参数输入!$B$54)/MAX(1,核心参数输入!$B$53),0),0)</f>
        <v>781.04249999999979</v>
      </c>
      <c r="U20" s="1">
        <f>IF(U$4&lt;=核心参数输入!$B$9,IF(AND(U$4-核心参数输入!$B$16&gt;0,U$4-核心参数输入!$B$16&lt;=核心参数输入!$B$53),投资与资金安排!$B$23*(1-核心参数输入!$B$54)/MAX(1,核心参数输入!$B$53),0),0)</f>
        <v>781.04249999999979</v>
      </c>
      <c r="V20" s="1">
        <f>IF(V$4&lt;=核心参数输入!$B$9,IF(AND(V$4-核心参数输入!$B$16&gt;0,V$4-核心参数输入!$B$16&lt;=核心参数输入!$B$53),投资与资金安排!$B$23*(1-核心参数输入!$B$54)/MAX(1,核心参数输入!$B$53),0),0)</f>
        <v>781.04249999999979</v>
      </c>
      <c r="W20" s="1">
        <f>IF(W$4&lt;=核心参数输入!$B$9,IF(AND(W$4-核心参数输入!$B$16&gt;0,W$4-核心参数输入!$B$16&lt;=核心参数输入!$B$53),投资与资金安排!$B$23*(1-核心参数输入!$B$54)/MAX(1,核心参数输入!$B$53),0),0)</f>
        <v>781.04249999999979</v>
      </c>
      <c r="X20" s="1">
        <f>IF(X$4&lt;=核心参数输入!$B$9,IF(AND(X$4-核心参数输入!$B$16&gt;0,X$4-核心参数输入!$B$16&lt;=核心参数输入!$B$53),投资与资金安排!$B$23*(1-核心参数输入!$B$54)/MAX(1,核心参数输入!$B$53),0),0)</f>
        <v>781.04249999999979</v>
      </c>
      <c r="Y20" s="1">
        <f>IF(Y$4&lt;=核心参数输入!$B$9,IF(AND(Y$4-核心参数输入!$B$16&gt;0,Y$4-核心参数输入!$B$16&lt;=核心参数输入!$B$53),投资与资金安排!$B$23*(1-核心参数输入!$B$54)/MAX(1,核心参数输入!$B$53),0),0)</f>
        <v>0</v>
      </c>
      <c r="Z20" s="1">
        <f>IF(Z$4&lt;=核心参数输入!$B$9,IF(AND(Z$4-核心参数输入!$B$16&gt;0,Z$4-核心参数输入!$B$16&lt;=核心参数输入!$B$53),投资与资金安排!$B$23*(1-核心参数输入!$B$54)/MAX(1,核心参数输入!$B$53),0),0)</f>
        <v>0</v>
      </c>
      <c r="AA20" s="1">
        <f>IF(AA$4&lt;=核心参数输入!$B$9,IF(AND(AA$4-核心参数输入!$B$16&gt;0,AA$4-核心参数输入!$B$16&lt;=核心参数输入!$B$53),投资与资金安排!$B$23*(1-核心参数输入!$B$54)/MAX(1,核心参数输入!$B$53),0),0)</f>
        <v>0</v>
      </c>
      <c r="AB20" s="1">
        <f>IF(AB$4&lt;=核心参数输入!$B$9,IF(AND(AB$4-核心参数输入!$B$16&gt;0,AB$4-核心参数输入!$B$16&lt;=核心参数输入!$B$53),投资与资金安排!$B$23*(1-核心参数输入!$B$54)/MAX(1,核心参数输入!$B$53),0),0)</f>
        <v>0</v>
      </c>
      <c r="AC20" s="1">
        <f>IF(AC$4&lt;=核心参数输入!$B$9,IF(AND(AC$4-核心参数输入!$B$16&gt;0,AC$4-核心参数输入!$B$16&lt;=核心参数输入!$B$53),投资与资金安排!$B$23*(1-核心参数输入!$B$54)/MAX(1,核心参数输入!$B$53),0),0)</f>
        <v>0</v>
      </c>
      <c r="AD20" s="1">
        <f>IF(AD$4&lt;=核心参数输入!$B$9,IF(AND(AD$4-核心参数输入!$B$16&gt;0,AD$4-核心参数输入!$B$16&lt;=核心参数输入!$B$53),投资与资金安排!$B$23*(1-核心参数输入!$B$54)/MAX(1,核心参数输入!$B$53),0),0)</f>
        <v>0</v>
      </c>
      <c r="AE20" s="1">
        <f>IF(AE$4&lt;=核心参数输入!$B$9,IF(AND(AE$4-核心参数输入!$B$16&gt;0,AE$4-核心参数输入!$B$16&lt;=核心参数输入!$B$53),投资与资金安排!$B$23*(1-核心参数输入!$B$54)/MAX(1,核心参数输入!$B$53),0),0)</f>
        <v>0</v>
      </c>
      <c r="AF20" s="1">
        <f>IF(AF$4&lt;=核心参数输入!$B$9,IF(AND(AF$4-核心参数输入!$B$16&gt;0,AF$4-核心参数输入!$B$16&lt;=核心参数输入!$B$53),投资与资金安排!$B$23*(1-核心参数输入!$B$54)/MAX(1,核心参数输入!$B$53),0),0)</f>
        <v>0</v>
      </c>
      <c r="AG20" s="1">
        <f>IF(AG$4&lt;=核心参数输入!$B$9,IF(AND(AG$4-核心参数输入!$B$16&gt;0,AG$4-核心参数输入!$B$16&lt;=核心参数输入!$B$53),投资与资金安排!$B$23*(1-核心参数输入!$B$54)/MAX(1,核心参数输入!$B$53),0),0)</f>
        <v>0</v>
      </c>
      <c r="AH20" s="1">
        <f>IF(AH$4&lt;=核心参数输入!$B$9,IF(AND(AH$4-核心参数输入!$B$16&gt;0,AH$4-核心参数输入!$B$16&lt;=核心参数输入!$B$53),投资与资金安排!$B$23*(1-核心参数输入!$B$54)/MAX(1,核心参数输入!$B$53),0),0)</f>
        <v>0</v>
      </c>
    </row>
    <row r="21" spans="1:34" ht="21" customHeight="1">
      <c r="A21" s="11" t="s">
        <v>249</v>
      </c>
      <c r="B21" s="11" t="s">
        <v>54</v>
      </c>
      <c r="D21" s="1">
        <f>IF(D$4&lt;=核心参数输入!$B$9,(SUM(投资与资金安排!$D$28:D28)+SUM(投资与资金安排!$D$29:D29))*核心参数输入!$B$15-SUM($D19:D19),0)</f>
        <v>3599.9999999999995</v>
      </c>
      <c r="E21" s="1">
        <f>IF(E$4&lt;=核心参数输入!$B$9,(SUM(投资与资金安排!$D$28:E28)+SUM(投资与资金安排!$D$29:E29))*核心参数输入!$B$15-SUM($D19:E19),0)</f>
        <v>10744.199999999999</v>
      </c>
      <c r="F21" s="1">
        <f>IF(F$4&lt;=核心参数输入!$B$9,(SUM(投资与资金安排!$D$28:F28)+SUM(投资与资金安排!$D$29:F29))*核心参数输入!$B$15-SUM($D19:F19),0)</f>
        <v>20269.8</v>
      </c>
      <c r="G21" s="1">
        <f>IF(G$4&lt;=核心参数输入!$B$9,(SUM(投资与资金安排!$D$28:G28)+SUM(投资与资金安排!$D$29:G29))*核心参数输入!$B$15-SUM($D19:G19),0)</f>
        <v>27413.999999999996</v>
      </c>
      <c r="H21" s="1">
        <f>IF(H$4&lt;=核心参数输入!$B$9,(SUM(投资与资金安排!$D$28:H28)+SUM(投资与资金安排!$D$29:H29))*核心参数输入!$B$15-SUM($D19:H19),0)</f>
        <v>26659.889999999996</v>
      </c>
      <c r="I21" s="1">
        <f>IF(I$4&lt;=核心参数输入!$B$9,(SUM(投资与资金安排!$D$28:I28)+SUM(投资与资金安排!$D$29:I29))*核心参数输入!$B$15-SUM($D19:I19),0)</f>
        <v>25905.779999999995</v>
      </c>
      <c r="J21" s="1">
        <f>IF(J$4&lt;=核心参数输入!$B$9,(SUM(投资与资金安排!$D$28:J28)+SUM(投资与资金安排!$D$29:J29))*核心参数输入!$B$15-SUM($D19:J19),0)</f>
        <v>25151.67</v>
      </c>
      <c r="K21" s="1">
        <f>IF(K$4&lt;=核心参数输入!$B$9,(SUM(投资与资金安排!$D$28:K28)+SUM(投资与资金安排!$D$29:K29))*核心参数输入!$B$15-SUM($D19:K19),0)</f>
        <v>24397.559999999998</v>
      </c>
      <c r="L21" s="1">
        <f>IF(L$4&lt;=核心参数输入!$B$9,(SUM(投资与资金安排!$D$28:L28)+SUM(投资与资金安排!$D$29:L29))*核心参数输入!$B$15-SUM($D19:L19),0)</f>
        <v>23643.449999999997</v>
      </c>
      <c r="M21" s="1">
        <f>IF(M$4&lt;=核心参数输入!$B$9,(SUM(投资与资金安排!$D$28:M28)+SUM(投资与资金安排!$D$29:M29))*核心参数输入!$B$15-SUM($D19:M19),0)</f>
        <v>22889.339999999997</v>
      </c>
      <c r="N21" s="1">
        <f>IF(N$4&lt;=核心参数输入!$B$9,(SUM(投资与资金安排!$D$28:N28)+SUM(投资与资金安排!$D$29:N29))*核心参数输入!$B$15-SUM($D19:N19),0)</f>
        <v>22135.229999999996</v>
      </c>
      <c r="O21" s="1">
        <f>IF(O$4&lt;=核心参数输入!$B$9,(SUM(投资与资金安排!$D$28:O28)+SUM(投资与资金安排!$D$29:O29))*核心参数输入!$B$15-SUM($D19:O19),0)</f>
        <v>21381.119999999999</v>
      </c>
      <c r="P21" s="1">
        <f>IF(P$4&lt;=核心参数输入!$B$9,(SUM(投资与资金安排!$D$28:P28)+SUM(投资与资金安排!$D$29:P29))*核心参数输入!$B$15-SUM($D19:P19),0)</f>
        <v>20627.009999999998</v>
      </c>
      <c r="Q21" s="1">
        <f>IF(Q$4&lt;=核心参数输入!$B$9,(SUM(投资与资金安排!$D$28:Q28)+SUM(投资与资金安排!$D$29:Q29))*核心参数输入!$B$15-SUM($D19:Q19),0)</f>
        <v>19872.899999999998</v>
      </c>
      <c r="R21" s="1">
        <f>IF(R$4&lt;=核心参数输入!$B$9,(SUM(投资与资金安排!$D$28:R28)+SUM(投资与资金安排!$D$29:R29))*核心参数输入!$B$15-SUM($D19:R19),0)</f>
        <v>19118.79</v>
      </c>
      <c r="S21" s="1">
        <f>IF(S$4&lt;=核心参数输入!$B$9,(SUM(投资与资金安排!$D$28:S28)+SUM(投资与资金安排!$D$29:S29))*核心参数输入!$B$15-SUM($D19:S19),0)</f>
        <v>18364.68</v>
      </c>
      <c r="T21" s="1">
        <f>IF(T$4&lt;=核心参数输入!$B$9,(SUM(投资与资金安排!$D$28:T28)+SUM(投资与资金安排!$D$29:T29))*核心参数输入!$B$15-SUM($D19:T19),0)</f>
        <v>17610.57</v>
      </c>
      <c r="U21" s="1">
        <f>IF(U$4&lt;=核心参数输入!$B$9,(SUM(投资与资金安排!$D$28:U28)+SUM(投资与资金安排!$D$29:U29))*核心参数输入!$B$15-SUM($D19:U19),0)</f>
        <v>16856.46</v>
      </c>
      <c r="V21" s="1">
        <f>IF(V$4&lt;=核心参数输入!$B$9,(SUM(投资与资金安排!$D$28:V28)+SUM(投资与资金安排!$D$29:V29))*核心参数输入!$B$15-SUM($D19:V19),0)</f>
        <v>16102.349999999997</v>
      </c>
      <c r="W21" s="1">
        <f>IF(W$4&lt;=核心参数输入!$B$9,(SUM(投资与资金安排!$D$28:W28)+SUM(投资与资金安排!$D$29:W29))*核心参数输入!$B$15-SUM($D19:W19),0)</f>
        <v>15348.239999999996</v>
      </c>
      <c r="X21" s="1">
        <f>IF(X$4&lt;=核心参数输入!$B$9,(SUM(投资与资金安排!$D$28:X28)+SUM(投资与资金安排!$D$29:X29))*核心参数输入!$B$15-SUM($D19:X19),0)</f>
        <v>14594.129999999996</v>
      </c>
      <c r="Y21" s="1">
        <f>IF(Y$4&lt;=核心参数输入!$B$9,(SUM(投资与资金安排!$D$28:Y28)+SUM(投资与资金安排!$D$29:Y29))*核心参数输入!$B$15-SUM($D19:Y19),0)</f>
        <v>0</v>
      </c>
      <c r="Z21" s="1">
        <f>IF(Z$4&lt;=核心参数输入!$B$9,(SUM(投资与资金安排!$D$28:Z28)+SUM(投资与资金安排!$D$29:Z29))*核心参数输入!$B$15-SUM($D19:Z19),0)</f>
        <v>0</v>
      </c>
      <c r="AA21" s="1">
        <f>IF(AA$4&lt;=核心参数输入!$B$9,(SUM(投资与资金安排!$D$28:AA28)+SUM(投资与资金安排!$D$29:AA29))*核心参数输入!$B$15-SUM($D19:AA19),0)</f>
        <v>0</v>
      </c>
      <c r="AB21" s="1">
        <f>IF(AB$4&lt;=核心参数输入!$B$9,(SUM(投资与资金安排!$D$28:AB28)+SUM(投资与资金安排!$D$29:AB29))*核心参数输入!$B$15-SUM($D19:AB19),0)</f>
        <v>0</v>
      </c>
      <c r="AC21" s="1">
        <f>IF(AC$4&lt;=核心参数输入!$B$9,(SUM(投资与资金安排!$D$28:AC28)+SUM(投资与资金安排!$D$29:AC29))*核心参数输入!$B$15-SUM($D19:AC19),0)</f>
        <v>0</v>
      </c>
      <c r="AD21" s="1">
        <f>IF(AD$4&lt;=核心参数输入!$B$9,(SUM(投资与资金安排!$D$28:AD28)+SUM(投资与资金安排!$D$29:AD29))*核心参数输入!$B$15-SUM($D19:AD19),0)</f>
        <v>0</v>
      </c>
      <c r="AE21" s="1">
        <f>IF(AE$4&lt;=核心参数输入!$B$9,(SUM(投资与资金安排!$D$28:AE28)+SUM(投资与资金安排!$D$29:AE29))*核心参数输入!$B$15-SUM($D19:AE19),0)</f>
        <v>0</v>
      </c>
      <c r="AF21" s="1">
        <f>IF(AF$4&lt;=核心参数输入!$B$9,(SUM(投资与资金安排!$D$28:AF28)+SUM(投资与资金安排!$D$29:AF29))*核心参数输入!$B$15-SUM($D19:AF19),0)</f>
        <v>0</v>
      </c>
      <c r="AG21" s="1">
        <f>IF(AG$4&lt;=核心参数输入!$B$9,(SUM(投资与资金安排!$D$28:AG28)+SUM(投资与资金安排!$D$29:AG29))*核心参数输入!$B$15-SUM($D19:AG19),0)</f>
        <v>0</v>
      </c>
      <c r="AH21" s="1">
        <f>IF(AH$4&lt;=核心参数输入!$B$9,(SUM(投资与资金安排!$D$28:AH28)+SUM(投资与资金安排!$D$29:AH29))*核心参数输入!$B$15-SUM($D19:AH19),0)</f>
        <v>0</v>
      </c>
    </row>
    <row r="22" spans="1:34" ht="21" customHeight="1">
      <c r="A22" s="11" t="s">
        <v>250</v>
      </c>
      <c r="B22" s="11" t="s">
        <v>54</v>
      </c>
      <c r="D22" s="1">
        <f>IF(D$4&lt;=核心参数输入!$B$9,(SUM(投资与资金安排!$D$28:D28)+SUM(投资与资金安排!$D$29:D29)+SUM(融资与还本付息!$D$16:D16))*核心参数输入!$B$15-SUM($D20:D20),0)</f>
        <v>3599.9999999999995</v>
      </c>
      <c r="E22" s="1">
        <f>IF(E$4&lt;=核心参数输入!$B$9,(SUM(投资与资金安排!$D$28:E28)+SUM(投资与资金安排!$D$29:E29)+SUM(融资与还本付息!$D$16:E16))*核心参数输入!$B$15-SUM($D20:E20),0)</f>
        <v>10829.249999999998</v>
      </c>
      <c r="F22" s="1">
        <f>IF(F$4&lt;=核心参数输入!$B$9,(SUM(投资与资金安排!$D$28:F28)+SUM(投资与资金安排!$D$29:F29)+SUM(融资与还本付息!$D$16:F16))*核心参数输入!$B$15-SUM($D20:F20),0)</f>
        <v>20638.349999999999</v>
      </c>
      <c r="G22" s="1">
        <f>IF(G$4&lt;=核心参数输入!$B$9,(SUM(投资与资金安排!$D$28:G28)+SUM(投资与资金安排!$D$29:G29)+SUM(融资与还本付息!$D$16:G16))*核心参数输入!$B$15-SUM($D20:G20),0)</f>
        <v>28264.499999999996</v>
      </c>
      <c r="H22" s="1">
        <f>IF(H$4&lt;=核心参数输入!$B$9,(SUM(投资与资金安排!$D$28:H28)+SUM(投资与资金安排!$D$29:H29)+SUM(融资与还本付息!$D$16:H16))*核心参数输入!$B$15-SUM($D20:H20),0)</f>
        <v>27483.457499999997</v>
      </c>
      <c r="I22" s="1">
        <f>IF(I$4&lt;=核心参数输入!$B$9,(SUM(投资与资金安排!$D$28:I28)+SUM(投资与资金安排!$D$29:I29)+SUM(融资与还本付息!$D$16:I16))*核心参数输入!$B$15-SUM($D20:I20),0)</f>
        <v>26702.414999999997</v>
      </c>
      <c r="J22" s="1">
        <f>IF(J$4&lt;=核心参数输入!$B$9,(SUM(投资与资金安排!$D$28:J28)+SUM(投资与资金安排!$D$29:J29)+SUM(融资与还本付息!$D$16:J16))*核心参数输入!$B$15-SUM($D20:J20),0)</f>
        <v>25921.372499999998</v>
      </c>
      <c r="K22" s="1">
        <f>IF(K$4&lt;=核心参数输入!$B$9,(SUM(投资与资金安排!$D$28:K28)+SUM(投资与资金安排!$D$29:K29)+SUM(融资与还本付息!$D$16:K16))*核心参数输入!$B$15-SUM($D20:K20),0)</f>
        <v>25140.329999999998</v>
      </c>
      <c r="L22" s="1">
        <f>IF(L$4&lt;=核心参数输入!$B$9,(SUM(投资与资金安排!$D$28:L28)+SUM(投资与资金安排!$D$29:L29)+SUM(融资与还本付息!$D$16:L16))*核心参数输入!$B$15-SUM($D20:L20),0)</f>
        <v>24359.287499999999</v>
      </c>
      <c r="M22" s="1">
        <f>IF(M$4&lt;=核心参数输入!$B$9,(SUM(投资与资金安排!$D$28:M28)+SUM(投资与资金安排!$D$29:M29)+SUM(融资与还本付息!$D$16:M16))*核心参数输入!$B$15-SUM($D20:M20),0)</f>
        <v>23578.244999999999</v>
      </c>
      <c r="N22" s="1">
        <f>IF(N$4&lt;=核心参数输入!$B$9,(SUM(投资与资金安排!$D$28:N28)+SUM(投资与资金安排!$D$29:N29)+SUM(融资与还本付息!$D$16:N16))*核心参数输入!$B$15-SUM($D20:N20),0)</f>
        <v>22797.202499999999</v>
      </c>
      <c r="O22" s="1">
        <f>IF(O$4&lt;=核心参数输入!$B$9,(SUM(投资与资金安排!$D$28:O28)+SUM(投资与资金安排!$D$29:O29)+SUM(融资与还本付息!$D$16:O16))*核心参数输入!$B$15-SUM($D20:O20),0)</f>
        <v>22016.16</v>
      </c>
      <c r="P22" s="1">
        <f>IF(P$4&lt;=核心参数输入!$B$9,(SUM(投资与资金安排!$D$28:P28)+SUM(投资与资金安排!$D$29:P29)+SUM(融资与还本付息!$D$16:P16))*核心参数输入!$B$15-SUM($D20:P20),0)</f>
        <v>21235.1175</v>
      </c>
      <c r="Q22" s="1">
        <f>IF(Q$4&lt;=核心参数输入!$B$9,(SUM(投资与资金安排!$D$28:Q28)+SUM(投资与资金安排!$D$29:Q29)+SUM(融资与还本付息!$D$16:Q16))*核心参数输入!$B$15-SUM($D20:Q20),0)</f>
        <v>20454.075000000001</v>
      </c>
      <c r="R22" s="1">
        <f>IF(R$4&lt;=核心参数输入!$B$9,(SUM(投资与资金安排!$D$28:R28)+SUM(投资与资金安排!$D$29:R29)+SUM(融资与还本付息!$D$16:R16))*核心参数输入!$B$15-SUM($D20:R20),0)</f>
        <v>19673.032500000001</v>
      </c>
      <c r="S22" s="1">
        <f>IF(S$4&lt;=核心参数输入!$B$9,(SUM(投资与资金安排!$D$28:S28)+SUM(投资与资金安排!$D$29:S29)+SUM(融资与还本付息!$D$16:S16))*核心参数输入!$B$15-SUM($D20:S20),0)</f>
        <v>18891.989999999998</v>
      </c>
      <c r="T22" s="1">
        <f>IF(T$4&lt;=核心参数输入!$B$9,(SUM(投资与资金安排!$D$28:T28)+SUM(投资与资金安排!$D$29:T29)+SUM(融资与还本付息!$D$16:T16))*核心参数输入!$B$15-SUM($D20:T20),0)</f>
        <v>18110.947500000002</v>
      </c>
      <c r="U22" s="1">
        <f>IF(U$4&lt;=核心参数输入!$B$9,(SUM(投资与资金安排!$D$28:U28)+SUM(投资与资金安排!$D$29:U29)+SUM(融资与还本付息!$D$16:U16))*核心参数输入!$B$15-SUM($D20:U20),0)</f>
        <v>17329.904999999999</v>
      </c>
      <c r="V22" s="1">
        <f>IF(V$4&lt;=核心参数输入!$B$9,(SUM(投资与资金安排!$D$28:V28)+SUM(投资与资金安排!$D$29:V29)+SUM(融资与还本付息!$D$16:V16))*核心参数输入!$B$15-SUM($D20:V20),0)</f>
        <v>16548.862500000003</v>
      </c>
      <c r="W22" s="1">
        <f>IF(W$4&lt;=核心参数输入!$B$9,(SUM(投资与资金安排!$D$28:W28)+SUM(投资与资金安排!$D$29:W29)+SUM(融资与还本付息!$D$16:W16))*核心参数输入!$B$15-SUM($D20:W20),0)</f>
        <v>15767.820000000002</v>
      </c>
      <c r="X22" s="1">
        <f>IF(X$4&lt;=核心参数输入!$B$9,(SUM(投资与资金安排!$D$28:X28)+SUM(投资与资金安排!$D$29:X29)+SUM(融资与还本付息!$D$16:X16))*核心参数输入!$B$15-SUM($D20:X20),0)</f>
        <v>14986.777500000002</v>
      </c>
      <c r="Y22" s="1">
        <f>IF(Y$4&lt;=核心参数输入!$B$9,(SUM(投资与资金安排!$D$28:Y28)+SUM(投资与资金安排!$D$29:Y29)+SUM(融资与还本付息!$D$16:Y16))*核心参数输入!$B$15-SUM($D20:Y20),0)</f>
        <v>0</v>
      </c>
      <c r="Z22" s="1">
        <f>IF(Z$4&lt;=核心参数输入!$B$9,(SUM(投资与资金安排!$D$28:Z28)+SUM(投资与资金安排!$D$29:Z29)+SUM(融资与还本付息!$D$16:Z16))*核心参数输入!$B$15-SUM($D20:Z20),0)</f>
        <v>0</v>
      </c>
      <c r="AA22" s="1">
        <f>IF(AA$4&lt;=核心参数输入!$B$9,(SUM(投资与资金安排!$D$28:AA28)+SUM(投资与资金安排!$D$29:AA29)+SUM(融资与还本付息!$D$16:AA16))*核心参数输入!$B$15-SUM($D20:AA20),0)</f>
        <v>0</v>
      </c>
      <c r="AB22" s="1">
        <f>IF(AB$4&lt;=核心参数输入!$B$9,(SUM(投资与资金安排!$D$28:AB28)+SUM(投资与资金安排!$D$29:AB29)+SUM(融资与还本付息!$D$16:AB16))*核心参数输入!$B$15-SUM($D20:AB20),0)</f>
        <v>0</v>
      </c>
      <c r="AC22" s="1">
        <f>IF(AC$4&lt;=核心参数输入!$B$9,(SUM(投资与资金安排!$D$28:AC28)+SUM(投资与资金安排!$D$29:AC29)+SUM(融资与还本付息!$D$16:AC16))*核心参数输入!$B$15-SUM($D20:AC20),0)</f>
        <v>0</v>
      </c>
      <c r="AD22" s="1">
        <f>IF(AD$4&lt;=核心参数输入!$B$9,(SUM(投资与资金安排!$D$28:AD28)+SUM(投资与资金安排!$D$29:AD29)+SUM(融资与还本付息!$D$16:AD16))*核心参数输入!$B$15-SUM($D20:AD20),0)</f>
        <v>0</v>
      </c>
      <c r="AE22" s="1">
        <f>IF(AE$4&lt;=核心参数输入!$B$9,(SUM(投资与资金安排!$D$28:AE28)+SUM(投资与资金安排!$D$29:AE29)+SUM(融资与还本付息!$D$16:AE16))*核心参数输入!$B$15-SUM($D20:AE20),0)</f>
        <v>0</v>
      </c>
      <c r="AF22" s="1">
        <f>IF(AF$4&lt;=核心参数输入!$B$9,(SUM(投资与资金安排!$D$28:AF28)+SUM(投资与资金安排!$D$29:AF29)+SUM(融资与还本付息!$D$16:AF16))*核心参数输入!$B$15-SUM($D20:AF20),0)</f>
        <v>0</v>
      </c>
      <c r="AG22" s="1">
        <f>IF(AG$4&lt;=核心参数输入!$B$9,(SUM(投资与资金安排!$D$28:AG28)+SUM(投资与资金安排!$D$29:AG29)+SUM(融资与还本付息!$D$16:AG16))*核心参数输入!$B$15-SUM($D20:AG20),0)</f>
        <v>0</v>
      </c>
      <c r="AH22" s="1">
        <f>IF(AH$4&lt;=核心参数输入!$B$9,(SUM(投资与资金安排!$D$28:AH28)+SUM(投资与资金安排!$D$29:AH29)+SUM(融资与还本付息!$D$16:AH16))*核心参数输入!$B$15-SUM($D20:AH20),0)</f>
        <v>0</v>
      </c>
    </row>
    <row r="23" spans="1:34" ht="21" customHeight="1">
      <c r="A23" s="11" t="s">
        <v>251</v>
      </c>
      <c r="B23" s="11" t="s">
        <v>54</v>
      </c>
      <c r="D23" s="1">
        <f>IF(D$4&lt;=核心参数输入!$B$9,(SUM(投资与资金安排!$D$28:D28)+SUM(投资与资金安排!$D$29:D29)+SUM(融资与还本付息!$D$16:D16))*核心参数输入!$B$14-SUM($D18:D18),0)</f>
        <v>4400</v>
      </c>
      <c r="E23" s="1">
        <f>IF(E$4&lt;=核心参数输入!$B$9,(SUM(投资与资金安排!$D$28:E28)+SUM(投资与资金安排!$D$29:E29)+SUM(融资与还本付息!$D$16:E16))*核心参数输入!$B$14-SUM($D18:E18),0)</f>
        <v>13235.750000000002</v>
      </c>
      <c r="F23" s="1">
        <f>IF(F$4&lt;=核心参数输入!$B$9,(SUM(投资与资金安排!$D$28:F28)+SUM(投资与资金安排!$D$29:F29)+SUM(融资与还本付息!$D$16:F16))*核心参数输入!$B$14-SUM($D18:F18),0)</f>
        <v>25224.65</v>
      </c>
      <c r="G23" s="1">
        <f>IF(G$4&lt;=核心参数输入!$B$9,(SUM(投资与资金安排!$D$28:G28)+SUM(投资与资金安排!$D$29:G29)+SUM(融资与还本付息!$D$16:G16))*核心参数输入!$B$14-SUM($D18:G18),0)</f>
        <v>34545.5</v>
      </c>
      <c r="H23" s="1">
        <f>IF(H$4&lt;=核心参数输入!$B$9,(SUM(投资与资金安排!$D$28:H28)+SUM(投资与资金安排!$D$29:H29)+SUM(融资与还本付息!$D$16:H16))*核心参数输入!$B$14-SUM($D18:H18),0)</f>
        <v>24181.85</v>
      </c>
      <c r="I23" s="1">
        <f>IF(I$4&lt;=核心参数输入!$B$9,(SUM(投资与资金安排!$D$28:I28)+SUM(投资与资金安排!$D$29:I29)+SUM(融资与还本付息!$D$16:I16))*核心参数输入!$B$14-SUM($D18:I18),0)</f>
        <v>10363.650000000001</v>
      </c>
      <c r="J23" s="1">
        <f>IF(J$4&lt;=核心参数输入!$B$9,(SUM(投资与资金安排!$D$28:J28)+SUM(投资与资金安排!$D$29:J29)+SUM(融资与还本付息!$D$16:J16))*核心参数输入!$B$14-SUM($D18:J18),0)</f>
        <v>0</v>
      </c>
      <c r="K23" s="1">
        <f>IF(K$4&lt;=核心参数输入!$B$9,(SUM(投资与资金安排!$D$28:K28)+SUM(投资与资金安排!$D$29:K29)+SUM(融资与还本付息!$D$16:K16))*核心参数输入!$B$14-SUM($D18:K18),0)</f>
        <v>0</v>
      </c>
      <c r="L23" s="1">
        <f>IF(L$4&lt;=核心参数输入!$B$9,(SUM(投资与资金安排!$D$28:L28)+SUM(投资与资金安排!$D$29:L29)+SUM(融资与还本付息!$D$16:L16))*核心参数输入!$B$14-SUM($D18:L18),0)</f>
        <v>0</v>
      </c>
      <c r="M23" s="1">
        <f>IF(M$4&lt;=核心参数输入!$B$9,(SUM(投资与资金安排!$D$28:M28)+SUM(投资与资金安排!$D$29:M29)+SUM(融资与还本付息!$D$16:M16))*核心参数输入!$B$14-SUM($D18:M18),0)</f>
        <v>0</v>
      </c>
      <c r="N23" s="1">
        <f>IF(N$4&lt;=核心参数输入!$B$9,(SUM(投资与资金安排!$D$28:N28)+SUM(投资与资金安排!$D$29:N29)+SUM(融资与还本付息!$D$16:N16))*核心参数输入!$B$14-SUM($D18:N18),0)</f>
        <v>0</v>
      </c>
      <c r="O23" s="1">
        <f>IF(O$4&lt;=核心参数输入!$B$9,(SUM(投资与资金安排!$D$28:O28)+SUM(投资与资金安排!$D$29:O29)+SUM(融资与还本付息!$D$16:O16))*核心参数输入!$B$14-SUM($D18:O18),0)</f>
        <v>0</v>
      </c>
      <c r="P23" s="1">
        <f>IF(P$4&lt;=核心参数输入!$B$9,(SUM(投资与资金安排!$D$28:P28)+SUM(投资与资金安排!$D$29:P29)+SUM(融资与还本付息!$D$16:P16))*核心参数输入!$B$14-SUM($D18:P18),0)</f>
        <v>0</v>
      </c>
      <c r="Q23" s="1">
        <f>IF(Q$4&lt;=核心参数输入!$B$9,(SUM(投资与资金安排!$D$28:Q28)+SUM(投资与资金安排!$D$29:Q29)+SUM(融资与还本付息!$D$16:Q16))*核心参数输入!$B$14-SUM($D18:Q18),0)</f>
        <v>0</v>
      </c>
      <c r="R23" s="1">
        <f>IF(R$4&lt;=核心参数输入!$B$9,(SUM(投资与资金安排!$D$28:R28)+SUM(投资与资金安排!$D$29:R29)+SUM(融资与还本付息!$D$16:R16))*核心参数输入!$B$14-SUM($D18:R18),0)</f>
        <v>0</v>
      </c>
      <c r="S23" s="1">
        <f>IF(S$4&lt;=核心参数输入!$B$9,(SUM(投资与资金安排!$D$28:S28)+SUM(投资与资金安排!$D$29:S29)+SUM(融资与还本付息!$D$16:S16))*核心参数输入!$B$14-SUM($D18:S18),0)</f>
        <v>0</v>
      </c>
      <c r="T23" s="1">
        <f>IF(T$4&lt;=核心参数输入!$B$9,(SUM(投资与资金安排!$D$28:T28)+SUM(投资与资金安排!$D$29:T29)+SUM(融资与还本付息!$D$16:T16))*核心参数输入!$B$14-SUM($D18:T18),0)</f>
        <v>0</v>
      </c>
      <c r="U23" s="1">
        <f>IF(U$4&lt;=核心参数输入!$B$9,(SUM(投资与资金安排!$D$28:U28)+SUM(投资与资金安排!$D$29:U29)+SUM(融资与还本付息!$D$16:U16))*核心参数输入!$B$14-SUM($D18:U18),0)</f>
        <v>0</v>
      </c>
      <c r="V23" s="1">
        <f>IF(V$4&lt;=核心参数输入!$B$9,(SUM(投资与资金安排!$D$28:V28)+SUM(投资与资金安排!$D$29:V29)+SUM(融资与还本付息!$D$16:V16))*核心参数输入!$B$14-SUM($D18:V18),0)</f>
        <v>0</v>
      </c>
      <c r="W23" s="1">
        <f>IF(W$4&lt;=核心参数输入!$B$9,(SUM(投资与资金安排!$D$28:W28)+SUM(投资与资金安排!$D$29:W29)+SUM(融资与还本付息!$D$16:W16))*核心参数输入!$B$14-SUM($D18:W18),0)</f>
        <v>0</v>
      </c>
      <c r="X23" s="1">
        <f>IF(X$4&lt;=核心参数输入!$B$9,(SUM(投资与资金安排!$D$28:X28)+SUM(投资与资金安排!$D$29:X29)+SUM(融资与还本付息!$D$16:X16))*核心参数输入!$B$14-SUM($D18:X18),0)</f>
        <v>0</v>
      </c>
      <c r="Y23" s="1">
        <f>IF(Y$4&lt;=核心参数输入!$B$9,(SUM(投资与资金安排!$D$28:Y28)+SUM(投资与资金安排!$D$29:Y29)+SUM(融资与还本付息!$D$16:Y16))*核心参数输入!$B$14-SUM($D18:Y18),0)</f>
        <v>0</v>
      </c>
      <c r="Z23" s="1">
        <f>IF(Z$4&lt;=核心参数输入!$B$9,(SUM(投资与资金安排!$D$28:Z28)+SUM(投资与资金安排!$D$29:Z29)+SUM(融资与还本付息!$D$16:Z16))*核心参数输入!$B$14-SUM($D18:Z18),0)</f>
        <v>0</v>
      </c>
      <c r="AA23" s="1">
        <f>IF(AA$4&lt;=核心参数输入!$B$9,(SUM(投资与资金安排!$D$28:AA28)+SUM(投资与资金安排!$D$29:AA29)+SUM(融资与还本付息!$D$16:AA16))*核心参数输入!$B$14-SUM($D18:AA18),0)</f>
        <v>0</v>
      </c>
      <c r="AB23" s="1">
        <f>IF(AB$4&lt;=核心参数输入!$B$9,(SUM(投资与资金安排!$D$28:AB28)+SUM(投资与资金安排!$D$29:AB29)+SUM(融资与还本付息!$D$16:AB16))*核心参数输入!$B$14-SUM($D18:AB18),0)</f>
        <v>0</v>
      </c>
      <c r="AC23" s="1">
        <f>IF(AC$4&lt;=核心参数输入!$B$9,(SUM(投资与资金安排!$D$28:AC28)+SUM(投资与资金安排!$D$29:AC29)+SUM(融资与还本付息!$D$16:AC16))*核心参数输入!$B$14-SUM($D18:AC18),0)</f>
        <v>0</v>
      </c>
      <c r="AD23" s="1">
        <f>IF(AD$4&lt;=核心参数输入!$B$9,(SUM(投资与资金安排!$D$28:AD28)+SUM(投资与资金安排!$D$29:AD29)+SUM(融资与还本付息!$D$16:AD16))*核心参数输入!$B$14-SUM($D18:AD18),0)</f>
        <v>0</v>
      </c>
      <c r="AE23" s="1">
        <f>IF(AE$4&lt;=核心参数输入!$B$9,(SUM(投资与资金安排!$D$28:AE28)+SUM(投资与资金安排!$D$29:AE29)+SUM(融资与还本付息!$D$16:AE16))*核心参数输入!$B$14-SUM($D18:AE18),0)</f>
        <v>0</v>
      </c>
      <c r="AF23" s="1">
        <f>IF(AF$4&lt;=核心参数输入!$B$9,(SUM(投资与资金安排!$D$28:AF28)+SUM(投资与资金安排!$D$29:AF29)+SUM(融资与还本付息!$D$16:AF16))*核心参数输入!$B$14-SUM($D18:AF18),0)</f>
        <v>0</v>
      </c>
      <c r="AG23" s="1">
        <f>IF(AG$4&lt;=核心参数输入!$B$9,(SUM(投资与资金安排!$D$28:AG28)+SUM(投资与资金安排!$D$29:AG29)+SUM(融资与还本付息!$D$16:AG16))*核心参数输入!$B$14-SUM($D18:AG18),0)</f>
        <v>0</v>
      </c>
      <c r="AH23" s="1">
        <f>IF(AH$4&lt;=核心参数输入!$B$9,(SUM(投资与资金安排!$D$28:AH28)+SUM(投资与资金安排!$D$29:AH29)+SUM(融资与还本付息!$D$16:AH16))*核心参数输入!$B$14-SUM($D18:AH18),0)</f>
        <v>0</v>
      </c>
    </row>
    <row r="24" spans="1:34" ht="21" customHeight="1">
      <c r="A24" s="11" t="s">
        <v>252</v>
      </c>
      <c r="B24" s="11" t="s">
        <v>54</v>
      </c>
      <c r="D24" s="1">
        <f>IF(D$4&lt;=核心参数输入!$B$9,IF(AND(核心参数输入!$B$64=1,D$4=核心参数输入!$B$9),销售与出租收入!D26-D21,0),0)</f>
        <v>0</v>
      </c>
      <c r="E24" s="1">
        <f>IF(E$4&lt;=核心参数输入!$B$9,IF(AND(核心参数输入!$B$64=1,E$4=核心参数输入!$B$9),销售与出租收入!E26-E21,0),0)</f>
        <v>0</v>
      </c>
      <c r="F24" s="1">
        <f>IF(F$4&lt;=核心参数输入!$B$9,IF(AND(核心参数输入!$B$64=1,F$4=核心参数输入!$B$9),销售与出租收入!F26-F21,0),0)</f>
        <v>0</v>
      </c>
      <c r="G24" s="1">
        <f>IF(G$4&lt;=核心参数输入!$B$9,IF(AND(核心参数输入!$B$64=1,G$4=核心参数输入!$B$9),销售与出租收入!G26-G21,0),0)</f>
        <v>0</v>
      </c>
      <c r="H24" s="1">
        <f>IF(H$4&lt;=核心参数输入!$B$9,IF(AND(核心参数输入!$B$64=1,H$4=核心参数输入!$B$9),销售与出租收入!H26-H21,0),0)</f>
        <v>0</v>
      </c>
      <c r="I24" s="1">
        <f>IF(I$4&lt;=核心参数输入!$B$9,IF(AND(核心参数输入!$B$64=1,I$4=核心参数输入!$B$9),销售与出租收入!I26-I21,0),0)</f>
        <v>0</v>
      </c>
      <c r="J24" s="1">
        <f>IF(J$4&lt;=核心参数输入!$B$9,IF(AND(核心参数输入!$B$64=1,J$4=核心参数输入!$B$9),销售与出租收入!J26-J21,0),0)</f>
        <v>0</v>
      </c>
      <c r="K24" s="1">
        <f>IF(K$4&lt;=核心参数输入!$B$9,IF(AND(核心参数输入!$B$64=1,K$4=核心参数输入!$B$9),销售与出租收入!K26-K21,0),0)</f>
        <v>0</v>
      </c>
      <c r="L24" s="1">
        <f>IF(L$4&lt;=核心参数输入!$B$9,IF(AND(核心参数输入!$B$64=1,L$4=核心参数输入!$B$9),销售与出租收入!L26-L21,0),0)</f>
        <v>0</v>
      </c>
      <c r="M24" s="1">
        <f>IF(M$4&lt;=核心参数输入!$B$9,IF(AND(核心参数输入!$B$64=1,M$4=核心参数输入!$B$9),销售与出租收入!M26-M21,0),0)</f>
        <v>0</v>
      </c>
      <c r="N24" s="1">
        <f>IF(N$4&lt;=核心参数输入!$B$9,IF(AND(核心参数输入!$B$64=1,N$4=核心参数输入!$B$9),销售与出租收入!N26-N21,0),0)</f>
        <v>0</v>
      </c>
      <c r="O24" s="1">
        <f>IF(O$4&lt;=核心参数输入!$B$9,IF(AND(核心参数输入!$B$64=1,O$4=核心参数输入!$B$9),销售与出租收入!O26-O21,0),0)</f>
        <v>0</v>
      </c>
      <c r="P24" s="1">
        <f>IF(P$4&lt;=核心参数输入!$B$9,IF(AND(核心参数输入!$B$64=1,P$4=核心参数输入!$B$9),销售与出租收入!P26-P21,0),0)</f>
        <v>0</v>
      </c>
      <c r="Q24" s="1">
        <f>IF(Q$4&lt;=核心参数输入!$B$9,IF(AND(核心参数输入!$B$64=1,Q$4=核心参数输入!$B$9),销售与出租收入!Q26-Q21,0),0)</f>
        <v>0</v>
      </c>
      <c r="R24" s="1">
        <f>IF(R$4&lt;=核心参数输入!$B$9,IF(AND(核心参数输入!$B$64=1,R$4=核心参数输入!$B$9),销售与出租收入!R26-R21,0),0)</f>
        <v>0</v>
      </c>
      <c r="S24" s="1">
        <f>IF(S$4&lt;=核心参数输入!$B$9,IF(AND(核心参数输入!$B$64=1,S$4=核心参数输入!$B$9),销售与出租收入!S26-S21,0),0)</f>
        <v>0</v>
      </c>
      <c r="T24" s="1">
        <f>IF(T$4&lt;=核心参数输入!$B$9,IF(AND(核心参数输入!$B$64=1,T$4=核心参数输入!$B$9),销售与出租收入!T26-T21,0),0)</f>
        <v>0</v>
      </c>
      <c r="U24" s="1">
        <f>IF(U$4&lt;=核心参数输入!$B$9,IF(AND(核心参数输入!$B$64=1,U$4=核心参数输入!$B$9),销售与出租收入!U26-U21,0),0)</f>
        <v>0</v>
      </c>
      <c r="V24" s="1">
        <f>IF(V$4&lt;=核心参数输入!$B$9,IF(AND(核心参数输入!$B$64=1,V$4=核心参数输入!$B$9),销售与出租收入!V26-V21,0),0)</f>
        <v>0</v>
      </c>
      <c r="W24" s="1">
        <f>IF(W$4&lt;=核心参数输入!$B$9,IF(AND(核心参数输入!$B$64=1,W$4=核心参数输入!$B$9),销售与出租收入!W26-W21,0),0)</f>
        <v>0</v>
      </c>
      <c r="X24" s="1">
        <f>IF(X$4&lt;=核心参数输入!$B$9,IF(AND(核心参数输入!$B$64=1,X$4=核心参数输入!$B$9),销售与出租收入!X26-X21,0),0)</f>
        <v>0</v>
      </c>
      <c r="Y24" s="1">
        <f>IF(Y$4&lt;=核心参数输入!$B$9,IF(AND(核心参数输入!$B$64=1,Y$4=核心参数输入!$B$9),销售与出租收入!Y26-Y21,0),0)</f>
        <v>0</v>
      </c>
      <c r="Z24" s="1">
        <f>IF(Z$4&lt;=核心参数输入!$B$9,IF(AND(核心参数输入!$B$64=1,Z$4=核心参数输入!$B$9),销售与出租收入!Z26-Z21,0),0)</f>
        <v>0</v>
      </c>
      <c r="AA24" s="1">
        <f>IF(AA$4&lt;=核心参数输入!$B$9,IF(AND(核心参数输入!$B$64=1,AA$4=核心参数输入!$B$9),销售与出租收入!AA26-AA21,0),0)</f>
        <v>0</v>
      </c>
      <c r="AB24" s="1">
        <f>IF(AB$4&lt;=核心参数输入!$B$9,IF(AND(核心参数输入!$B$64=1,AB$4=核心参数输入!$B$9),销售与出租收入!AB26-AB21,0),0)</f>
        <v>0</v>
      </c>
      <c r="AC24" s="1">
        <f>IF(AC$4&lt;=核心参数输入!$B$9,IF(AND(核心参数输入!$B$64=1,AC$4=核心参数输入!$B$9),销售与出租收入!AC26-AC21,0),0)</f>
        <v>0</v>
      </c>
      <c r="AD24" s="1">
        <f>IF(AD$4&lt;=核心参数输入!$B$9,IF(AND(核心参数输入!$B$64=1,AD$4=核心参数输入!$B$9),销售与出租收入!AD26-AD21,0),0)</f>
        <v>0</v>
      </c>
      <c r="AE24" s="1">
        <f>IF(AE$4&lt;=核心参数输入!$B$9,IF(AND(核心参数输入!$B$64=1,AE$4=核心参数输入!$B$9),销售与出租收入!AE26-AE21,0),0)</f>
        <v>0</v>
      </c>
      <c r="AF24" s="1">
        <f>IF(AF$4&lt;=核心参数输入!$B$9,IF(AND(核心参数输入!$B$64=1,AF$4=核心参数输入!$B$9),销售与出租收入!AF26-AF21,0),0)</f>
        <v>0</v>
      </c>
      <c r="AG24" s="1">
        <f>IF(AG$4&lt;=核心参数输入!$B$9,IF(AND(核心参数输入!$B$64=1,AG$4=核心参数输入!$B$9),销售与出租收入!AG26-AG21,0),0)</f>
        <v>0</v>
      </c>
      <c r="AH24" s="1">
        <f>IF(AH$4&lt;=核心参数输入!$B$9,IF(AND(核心参数输入!$B$64=1,AH$4=核心参数输入!$B$9),销售与出租收入!AH26-AH21,0),0)</f>
        <v>0</v>
      </c>
    </row>
    <row r="25" spans="1:34" ht="21" customHeight="1">
      <c r="A25" s="11" t="s">
        <v>253</v>
      </c>
      <c r="B25" s="11" t="s">
        <v>54</v>
      </c>
      <c r="D25" s="1">
        <f>IF(D$4&lt;=核心参数输入!$B$9,IF(AND(核心参数输入!$B$64=1,D$4=核心参数输入!$B$9),销售与出租收入!D26-D22,0),0)</f>
        <v>0</v>
      </c>
      <c r="E25" s="1">
        <f>IF(E$4&lt;=核心参数输入!$B$9,IF(AND(核心参数输入!$B$64=1,E$4=核心参数输入!$B$9),销售与出租收入!E26-E22,0),0)</f>
        <v>0</v>
      </c>
      <c r="F25" s="1">
        <f>IF(F$4&lt;=核心参数输入!$B$9,IF(AND(核心参数输入!$B$64=1,F$4=核心参数输入!$B$9),销售与出租收入!F26-F22,0),0)</f>
        <v>0</v>
      </c>
      <c r="G25" s="1">
        <f>IF(G$4&lt;=核心参数输入!$B$9,IF(AND(核心参数输入!$B$64=1,G$4=核心参数输入!$B$9),销售与出租收入!G26-G22,0),0)</f>
        <v>0</v>
      </c>
      <c r="H25" s="1">
        <f>IF(H$4&lt;=核心参数输入!$B$9,IF(AND(核心参数输入!$B$64=1,H$4=核心参数输入!$B$9),销售与出租收入!H26-H22,0),0)</f>
        <v>0</v>
      </c>
      <c r="I25" s="1">
        <f>IF(I$4&lt;=核心参数输入!$B$9,IF(AND(核心参数输入!$B$64=1,I$4=核心参数输入!$B$9),销售与出租收入!I26-I22,0),0)</f>
        <v>0</v>
      </c>
      <c r="J25" s="1">
        <f>IF(J$4&lt;=核心参数输入!$B$9,IF(AND(核心参数输入!$B$64=1,J$4=核心参数输入!$B$9),销售与出租收入!J26-J22,0),0)</f>
        <v>0</v>
      </c>
      <c r="K25" s="1">
        <f>IF(K$4&lt;=核心参数输入!$B$9,IF(AND(核心参数输入!$B$64=1,K$4=核心参数输入!$B$9),销售与出租收入!K26-K22,0),0)</f>
        <v>0</v>
      </c>
      <c r="L25" s="1">
        <f>IF(L$4&lt;=核心参数输入!$B$9,IF(AND(核心参数输入!$B$64=1,L$4=核心参数输入!$B$9),销售与出租收入!L26-L22,0),0)</f>
        <v>0</v>
      </c>
      <c r="M25" s="1">
        <f>IF(M$4&lt;=核心参数输入!$B$9,IF(AND(核心参数输入!$B$64=1,M$4=核心参数输入!$B$9),销售与出租收入!M26-M22,0),0)</f>
        <v>0</v>
      </c>
      <c r="N25" s="1">
        <f>IF(N$4&lt;=核心参数输入!$B$9,IF(AND(核心参数输入!$B$64=1,N$4=核心参数输入!$B$9),销售与出租收入!N26-N22,0),0)</f>
        <v>0</v>
      </c>
      <c r="O25" s="1">
        <f>IF(O$4&lt;=核心参数输入!$B$9,IF(AND(核心参数输入!$B$64=1,O$4=核心参数输入!$B$9),销售与出租收入!O26-O22,0),0)</f>
        <v>0</v>
      </c>
      <c r="P25" s="1">
        <f>IF(P$4&lt;=核心参数输入!$B$9,IF(AND(核心参数输入!$B$64=1,P$4=核心参数输入!$B$9),销售与出租收入!P26-P22,0),0)</f>
        <v>0</v>
      </c>
      <c r="Q25" s="1">
        <f>IF(Q$4&lt;=核心参数输入!$B$9,IF(AND(核心参数输入!$B$64=1,Q$4=核心参数输入!$B$9),销售与出租收入!Q26-Q22,0),0)</f>
        <v>0</v>
      </c>
      <c r="R25" s="1">
        <f>IF(R$4&lt;=核心参数输入!$B$9,IF(AND(核心参数输入!$B$64=1,R$4=核心参数输入!$B$9),销售与出租收入!R26-R22,0),0)</f>
        <v>0</v>
      </c>
      <c r="S25" s="1">
        <f>IF(S$4&lt;=核心参数输入!$B$9,IF(AND(核心参数输入!$B$64=1,S$4=核心参数输入!$B$9),销售与出租收入!S26-S22,0),0)</f>
        <v>0</v>
      </c>
      <c r="T25" s="1">
        <f>IF(T$4&lt;=核心参数输入!$B$9,IF(AND(核心参数输入!$B$64=1,T$4=核心参数输入!$B$9),销售与出租收入!T26-T22,0),0)</f>
        <v>0</v>
      </c>
      <c r="U25" s="1">
        <f>IF(U$4&lt;=核心参数输入!$B$9,IF(AND(核心参数输入!$B$64=1,U$4=核心参数输入!$B$9),销售与出租收入!U26-U22,0),0)</f>
        <v>0</v>
      </c>
      <c r="V25" s="1">
        <f>IF(V$4&lt;=核心参数输入!$B$9,IF(AND(核心参数输入!$B$64=1,V$4=核心参数输入!$B$9),销售与出租收入!V26-V22,0),0)</f>
        <v>0</v>
      </c>
      <c r="W25" s="1">
        <f>IF(W$4&lt;=核心参数输入!$B$9,IF(AND(核心参数输入!$B$64=1,W$4=核心参数输入!$B$9),销售与出租收入!W26-W22,0),0)</f>
        <v>0</v>
      </c>
      <c r="X25" s="1">
        <f>IF(X$4&lt;=核心参数输入!$B$9,IF(AND(核心参数输入!$B$64=1,X$4=核心参数输入!$B$9),销售与出租收入!X26-X22,0),0)</f>
        <v>0</v>
      </c>
      <c r="Y25" s="1">
        <f>IF(Y$4&lt;=核心参数输入!$B$9,IF(AND(核心参数输入!$B$64=1,Y$4=核心参数输入!$B$9),销售与出租收入!Y26-Y22,0),0)</f>
        <v>0</v>
      </c>
      <c r="Z25" s="1">
        <f>IF(Z$4&lt;=核心参数输入!$B$9,IF(AND(核心参数输入!$B$64=1,Z$4=核心参数输入!$B$9),销售与出租收入!Z26-Z22,0),0)</f>
        <v>0</v>
      </c>
      <c r="AA25" s="1">
        <f>IF(AA$4&lt;=核心参数输入!$B$9,IF(AND(核心参数输入!$B$64=1,AA$4=核心参数输入!$B$9),销售与出租收入!AA26-AA22,0),0)</f>
        <v>0</v>
      </c>
      <c r="AB25" s="1">
        <f>IF(AB$4&lt;=核心参数输入!$B$9,IF(AND(核心参数输入!$B$64=1,AB$4=核心参数输入!$B$9),销售与出租收入!AB26-AB22,0),0)</f>
        <v>0</v>
      </c>
      <c r="AC25" s="1">
        <f>IF(AC$4&lt;=核心参数输入!$B$9,IF(AND(核心参数输入!$B$64=1,AC$4=核心参数输入!$B$9),销售与出租收入!AC26-AC22,0),0)</f>
        <v>0</v>
      </c>
      <c r="AD25" s="1">
        <f>IF(AD$4&lt;=核心参数输入!$B$9,IF(AND(核心参数输入!$B$64=1,AD$4=核心参数输入!$B$9),销售与出租收入!AD26-AD22,0),0)</f>
        <v>0</v>
      </c>
      <c r="AE25" s="1">
        <f>IF(AE$4&lt;=核心参数输入!$B$9,IF(AND(核心参数输入!$B$64=1,AE$4=核心参数输入!$B$9),销售与出租收入!AE26-AE22,0),0)</f>
        <v>0</v>
      </c>
      <c r="AF25" s="1">
        <f>IF(AF$4&lt;=核心参数输入!$B$9,IF(AND(核心参数输入!$B$64=1,AF$4=核心参数输入!$B$9),销售与出租收入!AF26-AF22,0),0)</f>
        <v>0</v>
      </c>
      <c r="AG25" s="1">
        <f>IF(AG$4&lt;=核心参数输入!$B$9,IF(AND(核心参数输入!$B$64=1,AG$4=核心参数输入!$B$9),销售与出租收入!AG26-AG22,0),0)</f>
        <v>0</v>
      </c>
      <c r="AH25" s="1">
        <f>IF(AH$4&lt;=核心参数输入!$B$9,IF(AND(核心参数输入!$B$64=1,AH$4=核心参数输入!$B$9),销售与出租收入!AH26-AH22,0),0)</f>
        <v>0</v>
      </c>
    </row>
    <row r="87" spans="1:34" ht="24.95" customHeight="1">
      <c r="A87" s="15" t="s">
        <v>254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</row>
    <row r="90" spans="1:34" ht="21" customHeight="1">
      <c r="A90" s="11" t="s">
        <v>238</v>
      </c>
      <c r="B90" s="11" t="s">
        <v>54</v>
      </c>
      <c r="D90" s="1">
        <f>IF(D$4&lt;=核心参数输入!$B$9,销售与出租收入!D93*核心参数输入!$B$32,0)</f>
        <v>0</v>
      </c>
      <c r="E90" s="1">
        <f>IF(E$4&lt;=核心参数输入!$B$9,销售与出租收入!E93*核心参数输入!$B$32,0)</f>
        <v>0</v>
      </c>
      <c r="F90" s="1">
        <f>IF(F$4&lt;=核心参数输入!$B$9,销售与出租收入!F93*核心参数输入!$B$32,0)</f>
        <v>0</v>
      </c>
      <c r="G90" s="1">
        <f>IF(G$4&lt;=核心参数输入!$B$9,销售与出租收入!G93*核心参数输入!$B$32,0)</f>
        <v>0</v>
      </c>
      <c r="H90" s="1">
        <f>IF(H$4&lt;=核心参数输入!$B$9,销售与出租收入!H93*核心参数输入!$B$32,0)</f>
        <v>325.77187500000002</v>
      </c>
      <c r="I90" s="1">
        <f>IF(I$4&lt;=核心参数输入!$B$9,销售与出租收入!I93*核心参数输入!$B$32,0)</f>
        <v>434.36250000000001</v>
      </c>
      <c r="J90" s="1">
        <f>IF(J$4&lt;=核心参数输入!$B$9,销售与出租收入!J93*核心参数输入!$B$32,0)</f>
        <v>325.77187500000002</v>
      </c>
      <c r="K90" s="1">
        <f>IF(K$4&lt;=核心参数输入!$B$9,销售与出租收入!K93*核心参数输入!$B$32,0)</f>
        <v>0</v>
      </c>
      <c r="L90" s="1">
        <f>IF(L$4&lt;=核心参数输入!$B$9,销售与出租收入!L93*核心参数输入!$B$32,0)</f>
        <v>0</v>
      </c>
      <c r="M90" s="1">
        <f>IF(M$4&lt;=核心参数输入!$B$9,销售与出租收入!M93*核心参数输入!$B$32,0)</f>
        <v>0</v>
      </c>
      <c r="N90" s="1">
        <f>IF(N$4&lt;=核心参数输入!$B$9,销售与出租收入!N93*核心参数输入!$B$32,0)</f>
        <v>0</v>
      </c>
      <c r="O90" s="1">
        <f>IF(O$4&lt;=核心参数输入!$B$9,销售与出租收入!O93*核心参数输入!$B$32,0)</f>
        <v>0</v>
      </c>
      <c r="P90" s="1">
        <f>IF(P$4&lt;=核心参数输入!$B$9,销售与出租收入!P93*核心参数输入!$B$32,0)</f>
        <v>0</v>
      </c>
      <c r="Q90" s="1">
        <f>IF(Q$4&lt;=核心参数输入!$B$9,销售与出租收入!Q93*核心参数输入!$B$32,0)</f>
        <v>0</v>
      </c>
      <c r="R90" s="1">
        <f>IF(R$4&lt;=核心参数输入!$B$9,销售与出租收入!R93*核心参数输入!$B$32,0)</f>
        <v>0</v>
      </c>
      <c r="S90" s="1">
        <f>IF(S$4&lt;=核心参数输入!$B$9,销售与出租收入!S93*核心参数输入!$B$32,0)</f>
        <v>0</v>
      </c>
      <c r="T90" s="1">
        <f>IF(T$4&lt;=核心参数输入!$B$9,销售与出租收入!T93*核心参数输入!$B$32,0)</f>
        <v>0</v>
      </c>
      <c r="U90" s="1">
        <f>IF(U$4&lt;=核心参数输入!$B$9,销售与出租收入!U93*核心参数输入!$B$32,0)</f>
        <v>0</v>
      </c>
      <c r="V90" s="1">
        <f>IF(V$4&lt;=核心参数输入!$B$9,销售与出租收入!V93*核心参数输入!$B$32,0)</f>
        <v>0</v>
      </c>
      <c r="W90" s="1">
        <f>IF(W$4&lt;=核心参数输入!$B$9,销售与出租收入!W93*核心参数输入!$B$32,0)</f>
        <v>0</v>
      </c>
      <c r="X90" s="1">
        <f>IF(X$4&lt;=核心参数输入!$B$9,销售与出租收入!X93*核心参数输入!$B$32,0)</f>
        <v>0</v>
      </c>
      <c r="Y90" s="1">
        <f>IF(Y$4&lt;=核心参数输入!$B$9,销售与出租收入!Y93*核心参数输入!$B$32,0)</f>
        <v>0</v>
      </c>
      <c r="Z90" s="1">
        <f>IF(Z$4&lt;=核心参数输入!$B$9,销售与出租收入!Z93*核心参数输入!$B$32,0)</f>
        <v>0</v>
      </c>
      <c r="AA90" s="1">
        <f>IF(AA$4&lt;=核心参数输入!$B$9,销售与出租收入!AA93*核心参数输入!$B$32,0)</f>
        <v>0</v>
      </c>
      <c r="AB90" s="1">
        <f>IF(AB$4&lt;=核心参数输入!$B$9,销售与出租收入!AB93*核心参数输入!$B$32,0)</f>
        <v>0</v>
      </c>
      <c r="AC90" s="1">
        <f>IF(AC$4&lt;=核心参数输入!$B$9,销售与出租收入!AC93*核心参数输入!$B$32,0)</f>
        <v>0</v>
      </c>
      <c r="AD90" s="1">
        <f>IF(AD$4&lt;=核心参数输入!$B$9,销售与出租收入!AD93*核心参数输入!$B$32,0)</f>
        <v>0</v>
      </c>
      <c r="AE90" s="1">
        <f>IF(AE$4&lt;=核心参数输入!$B$9,销售与出租收入!AE93*核心参数输入!$B$32,0)</f>
        <v>0</v>
      </c>
      <c r="AF90" s="1">
        <f>IF(AF$4&lt;=核心参数输入!$B$9,销售与出租收入!AF93*核心参数输入!$B$32,0)</f>
        <v>0</v>
      </c>
      <c r="AG90" s="1">
        <f>IF(AG$4&lt;=核心参数输入!$B$9,销售与出租收入!AG93*核心参数输入!$B$32,0)</f>
        <v>0</v>
      </c>
      <c r="AH90" s="1">
        <f>IF(AH$4&lt;=核心参数输入!$B$9,销售与出租收入!AH93*核心参数输入!$B$32,0)</f>
        <v>0</v>
      </c>
    </row>
    <row r="91" spans="1:34" ht="21" customHeight="1">
      <c r="A91" s="11" t="s">
        <v>239</v>
      </c>
      <c r="B91" s="11" t="s">
        <v>54</v>
      </c>
      <c r="D91" s="1">
        <f>IF(D$4&lt;=核心参数输入!$B$9,销售与出租收入!D93*核心参数输入!$B$33,0)</f>
        <v>0</v>
      </c>
      <c r="E91" s="1">
        <f>IF(E$4&lt;=核心参数输入!$B$9,销售与出租收入!E93*核心参数输入!$B$33,0)</f>
        <v>0</v>
      </c>
      <c r="F91" s="1">
        <f>IF(F$4&lt;=核心参数输入!$B$9,销售与出租收入!F93*核心参数输入!$B$33,0)</f>
        <v>0</v>
      </c>
      <c r="G91" s="1">
        <f>IF(G$4&lt;=核心参数输入!$B$9,销售与出租收入!G93*核心参数输入!$B$33,0)</f>
        <v>0</v>
      </c>
      <c r="H91" s="1">
        <f>IF(H$4&lt;=核心参数输入!$B$9,销售与出租收入!H93*核心参数输入!$B$33,0)</f>
        <v>1042.47</v>
      </c>
      <c r="I91" s="1">
        <f>IF(I$4&lt;=核心参数输入!$B$9,销售与出租收入!I93*核心参数输入!$B$33,0)</f>
        <v>1389.96</v>
      </c>
      <c r="J91" s="1">
        <f>IF(J$4&lt;=核心参数输入!$B$9,销售与出租收入!J93*核心参数输入!$B$33,0)</f>
        <v>1042.47</v>
      </c>
      <c r="K91" s="1">
        <f>IF(K$4&lt;=核心参数输入!$B$9,销售与出租收入!K93*核心参数输入!$B$33,0)</f>
        <v>0</v>
      </c>
      <c r="L91" s="1">
        <f>IF(L$4&lt;=核心参数输入!$B$9,销售与出租收入!L93*核心参数输入!$B$33,0)</f>
        <v>0</v>
      </c>
      <c r="M91" s="1">
        <f>IF(M$4&lt;=核心参数输入!$B$9,销售与出租收入!M93*核心参数输入!$B$33,0)</f>
        <v>0</v>
      </c>
      <c r="N91" s="1">
        <f>IF(N$4&lt;=核心参数输入!$B$9,销售与出租收入!N93*核心参数输入!$B$33,0)</f>
        <v>0</v>
      </c>
      <c r="O91" s="1">
        <f>IF(O$4&lt;=核心参数输入!$B$9,销售与出租收入!O93*核心参数输入!$B$33,0)</f>
        <v>0</v>
      </c>
      <c r="P91" s="1">
        <f>IF(P$4&lt;=核心参数输入!$B$9,销售与出租收入!P93*核心参数输入!$B$33,0)</f>
        <v>0</v>
      </c>
      <c r="Q91" s="1">
        <f>IF(Q$4&lt;=核心参数输入!$B$9,销售与出租收入!Q93*核心参数输入!$B$33,0)</f>
        <v>0</v>
      </c>
      <c r="R91" s="1">
        <f>IF(R$4&lt;=核心参数输入!$B$9,销售与出租收入!R93*核心参数输入!$B$33,0)</f>
        <v>0</v>
      </c>
      <c r="S91" s="1">
        <f>IF(S$4&lt;=核心参数输入!$B$9,销售与出租收入!S93*核心参数输入!$B$33,0)</f>
        <v>0</v>
      </c>
      <c r="T91" s="1">
        <f>IF(T$4&lt;=核心参数输入!$B$9,销售与出租收入!T93*核心参数输入!$B$33,0)</f>
        <v>0</v>
      </c>
      <c r="U91" s="1">
        <f>IF(U$4&lt;=核心参数输入!$B$9,销售与出租收入!U93*核心参数输入!$B$33,0)</f>
        <v>0</v>
      </c>
      <c r="V91" s="1">
        <f>IF(V$4&lt;=核心参数输入!$B$9,销售与出租收入!V93*核心参数输入!$B$33,0)</f>
        <v>0</v>
      </c>
      <c r="W91" s="1">
        <f>IF(W$4&lt;=核心参数输入!$B$9,销售与出租收入!W93*核心参数输入!$B$33,0)</f>
        <v>0</v>
      </c>
      <c r="X91" s="1">
        <f>IF(X$4&lt;=核心参数输入!$B$9,销售与出租收入!X93*核心参数输入!$B$33,0)</f>
        <v>0</v>
      </c>
      <c r="Y91" s="1">
        <f>IF(Y$4&lt;=核心参数输入!$B$9,销售与出租收入!Y93*核心参数输入!$B$33,0)</f>
        <v>0</v>
      </c>
      <c r="Z91" s="1">
        <f>IF(Z$4&lt;=核心参数输入!$B$9,销售与出租收入!Z93*核心参数输入!$B$33,0)</f>
        <v>0</v>
      </c>
      <c r="AA91" s="1">
        <f>IF(AA$4&lt;=核心参数输入!$B$9,销售与出租收入!AA93*核心参数输入!$B$33,0)</f>
        <v>0</v>
      </c>
      <c r="AB91" s="1">
        <f>IF(AB$4&lt;=核心参数输入!$B$9,销售与出租收入!AB93*核心参数输入!$B$33,0)</f>
        <v>0</v>
      </c>
      <c r="AC91" s="1">
        <f>IF(AC$4&lt;=核心参数输入!$B$9,销售与出租收入!AC93*核心参数输入!$B$33,0)</f>
        <v>0</v>
      </c>
      <c r="AD91" s="1">
        <f>IF(AD$4&lt;=核心参数输入!$B$9,销售与出租收入!AD93*核心参数输入!$B$33,0)</f>
        <v>0</v>
      </c>
      <c r="AE91" s="1">
        <f>IF(AE$4&lt;=核心参数输入!$B$9,销售与出租收入!AE93*核心参数输入!$B$33,0)</f>
        <v>0</v>
      </c>
      <c r="AF91" s="1">
        <f>IF(AF$4&lt;=核心参数输入!$B$9,销售与出租收入!AF93*核心参数输入!$B$33,0)</f>
        <v>0</v>
      </c>
      <c r="AG91" s="1">
        <f>IF(AG$4&lt;=核心参数输入!$B$9,销售与出租收入!AG93*核心参数输入!$B$33,0)</f>
        <v>0</v>
      </c>
      <c r="AH91" s="1">
        <f>IF(AH$4&lt;=核心参数输入!$B$9,销售与出租收入!AH93*核心参数输入!$B$33,0)</f>
        <v>0</v>
      </c>
    </row>
    <row r="92" spans="1:34" ht="21" customHeight="1">
      <c r="A92" s="11" t="s">
        <v>240</v>
      </c>
      <c r="B92" s="11" t="s">
        <v>54</v>
      </c>
      <c r="D92" s="1">
        <f>IF(D$4&lt;=核心参数输入!$B$9,IF(D$4-核心参数输入!$B$16&gt;0,核心参数输入!$B$47*(1+核心参数输入!$B$48)^MAX(0,D$4-核心参数输入!$B$16-1),0),0)</f>
        <v>0</v>
      </c>
      <c r="E92" s="1">
        <f>IF(E$4&lt;=核心参数输入!$B$9,IF(E$4-核心参数输入!$B$16&gt;0,核心参数输入!$B$47*(1+核心参数输入!$B$48)^MAX(0,E$4-核心参数输入!$B$16-1),0),0)</f>
        <v>0</v>
      </c>
      <c r="F92" s="1">
        <f>IF(F$4&lt;=核心参数输入!$B$9,IF(F$4-核心参数输入!$B$16&gt;0,核心参数输入!$B$47*(1+核心参数输入!$B$48)^MAX(0,F$4-核心参数输入!$B$16-1),0),0)</f>
        <v>0</v>
      </c>
      <c r="G92" s="1">
        <f>IF(G$4&lt;=核心参数输入!$B$9,IF(G$4-核心参数输入!$B$16&gt;0,核心参数输入!$B$47*(1+核心参数输入!$B$48)^MAX(0,G$4-核心参数输入!$B$16-1),0),0)</f>
        <v>0</v>
      </c>
      <c r="H92" s="1">
        <f>IF(H$4&lt;=核心参数输入!$B$9,IF(H$4-核心参数输入!$B$16&gt;0,核心参数输入!$B$47*(1+核心参数输入!$B$48)^MAX(0,H$4-核心参数输入!$B$16-1),0),0)</f>
        <v>300</v>
      </c>
      <c r="I92" s="1">
        <f>IF(I$4&lt;=核心参数输入!$B$9,IF(I$4-核心参数输入!$B$16&gt;0,核心参数输入!$B$47*(1+核心参数输入!$B$48)^MAX(0,I$4-核心参数输入!$B$16-1),0),0)</f>
        <v>306</v>
      </c>
      <c r="J92" s="1">
        <f>IF(J$4&lt;=核心参数输入!$B$9,IF(J$4-核心参数输入!$B$16&gt;0,核心参数输入!$B$47*(1+核心参数输入!$B$48)^MAX(0,J$4-核心参数输入!$B$16-1),0),0)</f>
        <v>312.12</v>
      </c>
      <c r="K92" s="1">
        <f>IF(K$4&lt;=核心参数输入!$B$9,IF(K$4-核心参数输入!$B$16&gt;0,核心参数输入!$B$47*(1+核心参数输入!$B$48)^MAX(0,K$4-核心参数输入!$B$16-1),0),0)</f>
        <v>318.36239999999998</v>
      </c>
      <c r="L92" s="1">
        <f>IF(L$4&lt;=核心参数输入!$B$9,IF(L$4-核心参数输入!$B$16&gt;0,核心参数输入!$B$47*(1+核心参数输入!$B$48)^MAX(0,L$4-核心参数输入!$B$16-1),0),0)</f>
        <v>324.729648</v>
      </c>
      <c r="M92" s="1">
        <f>IF(M$4&lt;=核心参数输入!$B$9,IF(M$4-核心参数输入!$B$16&gt;0,核心参数输入!$B$47*(1+核心参数输入!$B$48)^MAX(0,M$4-核心参数输入!$B$16-1),0),0)</f>
        <v>331.22424096000003</v>
      </c>
      <c r="N92" s="1">
        <f>IF(N$4&lt;=核心参数输入!$B$9,IF(N$4-核心参数输入!$B$16&gt;0,核心参数输入!$B$47*(1+核心参数输入!$B$48)^MAX(0,N$4-核心参数输入!$B$16-1),0),0)</f>
        <v>337.84872577920004</v>
      </c>
      <c r="O92" s="1">
        <f>IF(O$4&lt;=核心参数输入!$B$9,IF(O$4-核心参数输入!$B$16&gt;0,核心参数输入!$B$47*(1+核心参数输入!$B$48)^MAX(0,O$4-核心参数输入!$B$16-1),0),0)</f>
        <v>344.60570029478396</v>
      </c>
      <c r="P92" s="1">
        <f>IF(P$4&lt;=核心参数输入!$B$9,IF(P$4-核心参数输入!$B$16&gt;0,核心参数输入!$B$47*(1+核心参数输入!$B$48)^MAX(0,P$4-核心参数输入!$B$16-1),0),0)</f>
        <v>351.49781430067964</v>
      </c>
      <c r="Q92" s="1">
        <f>IF(Q$4&lt;=核心参数输入!$B$9,IF(Q$4-核心参数输入!$B$16&gt;0,核心参数输入!$B$47*(1+核心参数输入!$B$48)^MAX(0,Q$4-核心参数输入!$B$16-1),0),0)</f>
        <v>358.52777058669324</v>
      </c>
      <c r="R92" s="1">
        <f>IF(R$4&lt;=核心参数输入!$B$9,IF(R$4-核心参数输入!$B$16&gt;0,核心参数输入!$B$47*(1+核心参数输入!$B$48)^MAX(0,R$4-核心参数输入!$B$16-1),0),0)</f>
        <v>365.69832599842715</v>
      </c>
      <c r="S92" s="1">
        <f>IF(S$4&lt;=核心参数输入!$B$9,IF(S$4-核心参数输入!$B$16&gt;0,核心参数输入!$B$47*(1+核心参数输入!$B$48)^MAX(0,S$4-核心参数输入!$B$16-1),0),0)</f>
        <v>373.01229251839561</v>
      </c>
      <c r="T92" s="1">
        <f>IF(T$4&lt;=核心参数输入!$B$9,IF(T$4-核心参数输入!$B$16&gt;0,核心参数输入!$B$47*(1+核心参数输入!$B$48)^MAX(0,T$4-核心参数输入!$B$16-1),0),0)</f>
        <v>380.47253836876359</v>
      </c>
      <c r="U92" s="1">
        <f>IF(U$4&lt;=核心参数输入!$B$9,IF(U$4-核心参数输入!$B$16&gt;0,核心参数输入!$B$47*(1+核心参数输入!$B$48)^MAX(0,U$4-核心参数输入!$B$16-1),0),0)</f>
        <v>388.08198913613882</v>
      </c>
      <c r="V92" s="1">
        <f>IF(V$4&lt;=核心参数输入!$B$9,IF(V$4-核心参数输入!$B$16&gt;0,核心参数输入!$B$47*(1+核心参数输入!$B$48)^MAX(0,V$4-核心参数输入!$B$16-1),0),0)</f>
        <v>395.84362891886167</v>
      </c>
      <c r="W92" s="1">
        <f>IF(W$4&lt;=核心参数输入!$B$9,IF(W$4-核心参数输入!$B$16&gt;0,核心参数输入!$B$47*(1+核心参数输入!$B$48)^MAX(0,W$4-核心参数输入!$B$16-1),0),0)</f>
        <v>403.76050149723875</v>
      </c>
      <c r="X92" s="1">
        <f>IF(X$4&lt;=核心参数输入!$B$9,IF(X$4-核心参数输入!$B$16&gt;0,核心参数输入!$B$47*(1+核心参数输入!$B$48)^MAX(0,X$4-核心参数输入!$B$16-1),0),0)</f>
        <v>411.83571152718361</v>
      </c>
      <c r="Y92" s="1">
        <f>IF(Y$4&lt;=核心参数输入!$B$9,IF(Y$4-核心参数输入!$B$16&gt;0,核心参数输入!$B$47*(1+核心参数输入!$B$48)^MAX(0,Y$4-核心参数输入!$B$16-1),0),0)</f>
        <v>0</v>
      </c>
      <c r="Z92" s="1">
        <f>IF(Z$4&lt;=核心参数输入!$B$9,IF(Z$4-核心参数输入!$B$16&gt;0,核心参数输入!$B$47*(1+核心参数输入!$B$48)^MAX(0,Z$4-核心参数输入!$B$16-1),0),0)</f>
        <v>0</v>
      </c>
      <c r="AA92" s="1">
        <f>IF(AA$4&lt;=核心参数输入!$B$9,IF(AA$4-核心参数输入!$B$16&gt;0,核心参数输入!$B$47*(1+核心参数输入!$B$48)^MAX(0,AA$4-核心参数输入!$B$16-1),0),0)</f>
        <v>0</v>
      </c>
      <c r="AB92" s="1">
        <f>IF(AB$4&lt;=核心参数输入!$B$9,IF(AB$4-核心参数输入!$B$16&gt;0,核心参数输入!$B$47*(1+核心参数输入!$B$48)^MAX(0,AB$4-核心参数输入!$B$16-1),0),0)</f>
        <v>0</v>
      </c>
      <c r="AC92" s="1">
        <f>IF(AC$4&lt;=核心参数输入!$B$9,IF(AC$4-核心参数输入!$B$16&gt;0,核心参数输入!$B$47*(1+核心参数输入!$B$48)^MAX(0,AC$4-核心参数输入!$B$16-1),0),0)</f>
        <v>0</v>
      </c>
      <c r="AD92" s="1">
        <f>IF(AD$4&lt;=核心参数输入!$B$9,IF(AD$4-核心参数输入!$B$16&gt;0,核心参数输入!$B$47*(1+核心参数输入!$B$48)^MAX(0,AD$4-核心参数输入!$B$16-1),0),0)</f>
        <v>0</v>
      </c>
      <c r="AE92" s="1">
        <f>IF(AE$4&lt;=核心参数输入!$B$9,IF(AE$4-核心参数输入!$B$16&gt;0,核心参数输入!$B$47*(1+核心参数输入!$B$48)^MAX(0,AE$4-核心参数输入!$B$16-1),0),0)</f>
        <v>0</v>
      </c>
      <c r="AF92" s="1">
        <f>IF(AF$4&lt;=核心参数输入!$B$9,IF(AF$4-核心参数输入!$B$16&gt;0,核心参数输入!$B$47*(1+核心参数输入!$B$48)^MAX(0,AF$4-核心参数输入!$B$16-1),0),0)</f>
        <v>0</v>
      </c>
      <c r="AG92" s="1">
        <f>IF(AG$4&lt;=核心参数输入!$B$9,IF(AG$4-核心参数输入!$B$16&gt;0,核心参数输入!$B$47*(1+核心参数输入!$B$48)^MAX(0,AG$4-核心参数输入!$B$16-1),0),0)</f>
        <v>0</v>
      </c>
      <c r="AH92" s="1">
        <f>IF(AH$4&lt;=核心参数输入!$B$9,IF(AH$4-核心参数输入!$B$16&gt;0,核心参数输入!$B$47*(1+核心参数输入!$B$48)^MAX(0,AH$4-核心参数输入!$B$16-1),0),0)</f>
        <v>0</v>
      </c>
    </row>
    <row r="93" spans="1:34" ht="21" customHeight="1">
      <c r="A93" s="11" t="s">
        <v>241</v>
      </c>
      <c r="B93" s="11" t="s">
        <v>54</v>
      </c>
      <c r="D93" s="1">
        <f>IF(D$4&lt;=核心参数输入!$B$9,销售与出租收入!D102*核心参数输入!$B$49,0)</f>
        <v>0</v>
      </c>
      <c r="E93" s="1">
        <f>IF(E$4&lt;=核心参数输入!$B$9,销售与出租收入!E102*核心参数输入!$B$49,0)</f>
        <v>0</v>
      </c>
      <c r="F93" s="1">
        <f>IF(F$4&lt;=核心参数输入!$B$9,销售与出租收入!F102*核心参数输入!$B$49,0)</f>
        <v>0</v>
      </c>
      <c r="G93" s="1">
        <f>IF(G$4&lt;=核心参数输入!$B$9,销售与出租收入!G102*核心参数输入!$B$49,0)</f>
        <v>0</v>
      </c>
      <c r="H93" s="1">
        <f>IF(H$4&lt;=核心参数输入!$B$9,销售与出租收入!H102*核心参数输入!$B$49,0)</f>
        <v>63.191877839999997</v>
      </c>
      <c r="I93" s="1">
        <f>IF(I$4&lt;=核心参数输入!$B$9,销售与出租收入!I102*核心参数输入!$B$49,0)</f>
        <v>117.58955268059995</v>
      </c>
      <c r="J93" s="1">
        <f>IF(J$4&lt;=核心参数输入!$B$9,销售与出租收入!J102*核心参数输入!$B$49,0)</f>
        <v>154.61689932582067</v>
      </c>
      <c r="K93" s="1">
        <f>IF(K$4&lt;=核心参数输入!$B$9,销售与出租收入!K102*核心参数输入!$B$49,0)</f>
        <v>173.45574784894038</v>
      </c>
      <c r="L93" s="1">
        <f>IF(L$4&lt;=核心参数输入!$B$9,销售与出租收入!L102*核心参数输入!$B$49,0)</f>
        <v>178.85214889312962</v>
      </c>
      <c r="M93" s="1">
        <f>IF(M$4&lt;=核心参数输入!$B$9,销售与出租收入!M102*核心参数输入!$B$49,0)</f>
        <v>181.5349311265266</v>
      </c>
      <c r="N93" s="1">
        <f>IF(N$4&lt;=核心参数输入!$B$9,销售与出租收入!N102*核心参数输入!$B$49,0)</f>
        <v>184.25795509342441</v>
      </c>
      <c r="O93" s="1">
        <f>IF(O$4&lt;=核心参数输入!$B$9,销售与出租收入!O102*核心参数输入!$B$49,0)</f>
        <v>187.0218244198258</v>
      </c>
      <c r="P93" s="1">
        <f>IF(P$4&lt;=核心参数输入!$B$9,销售与出租收入!P102*核心参数输入!$B$49,0)</f>
        <v>189.82715178612312</v>
      </c>
      <c r="Q93" s="1">
        <f>IF(Q$4&lt;=核心参数输入!$B$9,销售与出租收入!Q102*核心参数输入!$B$49,0)</f>
        <v>192.67455906291497</v>
      </c>
      <c r="R93" s="1">
        <f>IF(R$4&lt;=核心参数输入!$B$9,销售与出租收入!R102*核心参数输入!$B$49,0)</f>
        <v>195.56467744885865</v>
      </c>
      <c r="S93" s="1">
        <f>IF(S$4&lt;=核心参数输入!$B$9,销售与出租收入!S102*核心参数输入!$B$49,0)</f>
        <v>198.4981476105915</v>
      </c>
      <c r="T93" s="1">
        <f>IF(T$4&lt;=核心参数输入!$B$9,销售与出租收入!T102*核心参数输入!$B$49,0)</f>
        <v>201.47561982475031</v>
      </c>
      <c r="U93" s="1">
        <f>IF(U$4&lt;=核心参数输入!$B$9,销售与出租收入!U102*核心参数输入!$B$49,0)</f>
        <v>204.49775412212159</v>
      </c>
      <c r="V93" s="1">
        <f>IF(V$4&lt;=核心参数输入!$B$9,销售与出租收入!V102*核心参数输入!$B$49,0)</f>
        <v>207.56522043395336</v>
      </c>
      <c r="W93" s="1">
        <f>IF(W$4&lt;=核心参数输入!$B$9,销售与出租收入!W102*核心参数输入!$B$49,0)</f>
        <v>210.67869874046264</v>
      </c>
      <c r="X93" s="1">
        <f>IF(X$4&lt;=核心参数输入!$B$9,销售与出租收入!X102*核心参数输入!$B$49,0)</f>
        <v>213.83887922156956</v>
      </c>
      <c r="Y93" s="1">
        <f>IF(Y$4&lt;=核心参数输入!$B$9,销售与出租收入!Y102*核心参数输入!$B$49,0)</f>
        <v>0</v>
      </c>
      <c r="Z93" s="1">
        <f>IF(Z$4&lt;=核心参数输入!$B$9,销售与出租收入!Z102*核心参数输入!$B$49,0)</f>
        <v>0</v>
      </c>
      <c r="AA93" s="1">
        <f>IF(AA$4&lt;=核心参数输入!$B$9,销售与出租收入!AA102*核心参数输入!$B$49,0)</f>
        <v>0</v>
      </c>
      <c r="AB93" s="1">
        <f>IF(AB$4&lt;=核心参数输入!$B$9,销售与出租收入!AB102*核心参数输入!$B$49,0)</f>
        <v>0</v>
      </c>
      <c r="AC93" s="1">
        <f>IF(AC$4&lt;=核心参数输入!$B$9,销售与出租收入!AC102*核心参数输入!$B$49,0)</f>
        <v>0</v>
      </c>
      <c r="AD93" s="1">
        <f>IF(AD$4&lt;=核心参数输入!$B$9,销售与出租收入!AD102*核心参数输入!$B$49,0)</f>
        <v>0</v>
      </c>
      <c r="AE93" s="1">
        <f>IF(AE$4&lt;=核心参数输入!$B$9,销售与出租收入!AE102*核心参数输入!$B$49,0)</f>
        <v>0</v>
      </c>
      <c r="AF93" s="1">
        <f>IF(AF$4&lt;=核心参数输入!$B$9,销售与出租收入!AF102*核心参数输入!$B$49,0)</f>
        <v>0</v>
      </c>
      <c r="AG93" s="1">
        <f>IF(AG$4&lt;=核心参数输入!$B$9,销售与出租收入!AG102*核心参数输入!$B$49,0)</f>
        <v>0</v>
      </c>
      <c r="AH93" s="1">
        <f>IF(AH$4&lt;=核心参数输入!$B$9,销售与出租收入!AH102*核心参数输入!$B$49,0)</f>
        <v>0</v>
      </c>
    </row>
    <row r="94" spans="1:34" ht="21" customHeight="1">
      <c r="A94" s="11" t="s">
        <v>242</v>
      </c>
      <c r="B94" s="11" t="s">
        <v>54</v>
      </c>
      <c r="D94" s="1">
        <f>IF(D$4&lt;=核心参数输入!$B$9,IF(D$4-核心参数输入!$B$16&gt;0,核心参数输入!$B$50,0),0)</f>
        <v>0</v>
      </c>
      <c r="E94" s="1">
        <f>IF(E$4&lt;=核心参数输入!$B$9,IF(E$4-核心参数输入!$B$16&gt;0,核心参数输入!$B$50,0),0)</f>
        <v>0</v>
      </c>
      <c r="F94" s="1">
        <f>IF(F$4&lt;=核心参数输入!$B$9,IF(F$4-核心参数输入!$B$16&gt;0,核心参数输入!$B$50,0),0)</f>
        <v>0</v>
      </c>
      <c r="G94" s="1">
        <f>IF(G$4&lt;=核心参数输入!$B$9,IF(G$4-核心参数输入!$B$16&gt;0,核心参数输入!$B$50,0),0)</f>
        <v>0</v>
      </c>
      <c r="H94" s="1">
        <f>IF(H$4&lt;=核心参数输入!$B$9,IF(H$4-核心参数输入!$B$16&gt;0,核心参数输入!$B$50,0),0)</f>
        <v>180</v>
      </c>
      <c r="I94" s="1">
        <f>IF(I$4&lt;=核心参数输入!$B$9,IF(I$4-核心参数输入!$B$16&gt;0,核心参数输入!$B$50,0),0)</f>
        <v>180</v>
      </c>
      <c r="J94" s="1">
        <f>IF(J$4&lt;=核心参数输入!$B$9,IF(J$4-核心参数输入!$B$16&gt;0,核心参数输入!$B$50,0),0)</f>
        <v>180</v>
      </c>
      <c r="K94" s="1">
        <f>IF(K$4&lt;=核心参数输入!$B$9,IF(K$4-核心参数输入!$B$16&gt;0,核心参数输入!$B$50,0),0)</f>
        <v>180</v>
      </c>
      <c r="L94" s="1">
        <f>IF(L$4&lt;=核心参数输入!$B$9,IF(L$4-核心参数输入!$B$16&gt;0,核心参数输入!$B$50,0),0)</f>
        <v>180</v>
      </c>
      <c r="M94" s="1">
        <f>IF(M$4&lt;=核心参数输入!$B$9,IF(M$4-核心参数输入!$B$16&gt;0,核心参数输入!$B$50,0),0)</f>
        <v>180</v>
      </c>
      <c r="N94" s="1">
        <f>IF(N$4&lt;=核心参数输入!$B$9,IF(N$4-核心参数输入!$B$16&gt;0,核心参数输入!$B$50,0),0)</f>
        <v>180</v>
      </c>
      <c r="O94" s="1">
        <f>IF(O$4&lt;=核心参数输入!$B$9,IF(O$4-核心参数输入!$B$16&gt;0,核心参数输入!$B$50,0),0)</f>
        <v>180</v>
      </c>
      <c r="P94" s="1">
        <f>IF(P$4&lt;=核心参数输入!$B$9,IF(P$4-核心参数输入!$B$16&gt;0,核心参数输入!$B$50,0),0)</f>
        <v>180</v>
      </c>
      <c r="Q94" s="1">
        <f>IF(Q$4&lt;=核心参数输入!$B$9,IF(Q$4-核心参数输入!$B$16&gt;0,核心参数输入!$B$50,0),0)</f>
        <v>180</v>
      </c>
      <c r="R94" s="1">
        <f>IF(R$4&lt;=核心参数输入!$B$9,IF(R$4-核心参数输入!$B$16&gt;0,核心参数输入!$B$50,0),0)</f>
        <v>180</v>
      </c>
      <c r="S94" s="1">
        <f>IF(S$4&lt;=核心参数输入!$B$9,IF(S$4-核心参数输入!$B$16&gt;0,核心参数输入!$B$50,0),0)</f>
        <v>180</v>
      </c>
      <c r="T94" s="1">
        <f>IF(T$4&lt;=核心参数输入!$B$9,IF(T$4-核心参数输入!$B$16&gt;0,核心参数输入!$B$50,0),0)</f>
        <v>180</v>
      </c>
      <c r="U94" s="1">
        <f>IF(U$4&lt;=核心参数输入!$B$9,IF(U$4-核心参数输入!$B$16&gt;0,核心参数输入!$B$50,0),0)</f>
        <v>180</v>
      </c>
      <c r="V94" s="1">
        <f>IF(V$4&lt;=核心参数输入!$B$9,IF(V$4-核心参数输入!$B$16&gt;0,核心参数输入!$B$50,0),0)</f>
        <v>180</v>
      </c>
      <c r="W94" s="1">
        <f>IF(W$4&lt;=核心参数输入!$B$9,IF(W$4-核心参数输入!$B$16&gt;0,核心参数输入!$B$50,0),0)</f>
        <v>180</v>
      </c>
      <c r="X94" s="1">
        <f>IF(X$4&lt;=核心参数输入!$B$9,IF(X$4-核心参数输入!$B$16&gt;0,核心参数输入!$B$50,0),0)</f>
        <v>180</v>
      </c>
      <c r="Y94" s="1">
        <f>IF(Y$4&lt;=核心参数输入!$B$9,IF(Y$4-核心参数输入!$B$16&gt;0,核心参数输入!$B$50,0),0)</f>
        <v>0</v>
      </c>
      <c r="Z94" s="1">
        <f>IF(Z$4&lt;=核心参数输入!$B$9,IF(Z$4-核心参数输入!$B$16&gt;0,核心参数输入!$B$50,0),0)</f>
        <v>0</v>
      </c>
      <c r="AA94" s="1">
        <f>IF(AA$4&lt;=核心参数输入!$B$9,IF(AA$4-核心参数输入!$B$16&gt;0,核心参数输入!$B$50,0),0)</f>
        <v>0</v>
      </c>
      <c r="AB94" s="1">
        <f>IF(AB$4&lt;=核心参数输入!$B$9,IF(AB$4-核心参数输入!$B$16&gt;0,核心参数输入!$B$50,0),0)</f>
        <v>0</v>
      </c>
      <c r="AC94" s="1">
        <f>IF(AC$4&lt;=核心参数输入!$B$9,IF(AC$4-核心参数输入!$B$16&gt;0,核心参数输入!$B$50,0),0)</f>
        <v>0</v>
      </c>
      <c r="AD94" s="1">
        <f>IF(AD$4&lt;=核心参数输入!$B$9,IF(AD$4-核心参数输入!$B$16&gt;0,核心参数输入!$B$50,0),0)</f>
        <v>0</v>
      </c>
      <c r="AE94" s="1">
        <f>IF(AE$4&lt;=核心参数输入!$B$9,IF(AE$4-核心参数输入!$B$16&gt;0,核心参数输入!$B$50,0),0)</f>
        <v>0</v>
      </c>
      <c r="AF94" s="1">
        <f>IF(AF$4&lt;=核心参数输入!$B$9,IF(AF$4-核心参数输入!$B$16&gt;0,核心参数输入!$B$50,0),0)</f>
        <v>0</v>
      </c>
      <c r="AG94" s="1">
        <f>IF(AG$4&lt;=核心参数输入!$B$9,IF(AG$4-核心参数输入!$B$16&gt;0,核心参数输入!$B$50,0),0)</f>
        <v>0</v>
      </c>
      <c r="AH94" s="1">
        <f>IF(AH$4&lt;=核心参数输入!$B$9,IF(AH$4-核心参数输入!$B$16&gt;0,核心参数输入!$B$50,0),0)</f>
        <v>0</v>
      </c>
    </row>
    <row r="95" spans="1:34" ht="21" customHeight="1">
      <c r="A95" s="11" t="s">
        <v>243</v>
      </c>
      <c r="B95" s="11" t="s">
        <v>54</v>
      </c>
      <c r="D95" s="1">
        <f>IF(D$4&lt;=核心参数输入!$B$9,销售与出租收入!D102*核心参数输入!$B$51,0)</f>
        <v>0</v>
      </c>
      <c r="E95" s="1">
        <f>IF(E$4&lt;=核心参数输入!$B$9,销售与出租收入!E102*核心参数输入!$B$51,0)</f>
        <v>0</v>
      </c>
      <c r="F95" s="1">
        <f>IF(F$4&lt;=核心参数输入!$B$9,销售与出租收入!F102*核心参数输入!$B$51,0)</f>
        <v>0</v>
      </c>
      <c r="G95" s="1">
        <f>IF(G$4&lt;=核心参数输入!$B$9,销售与出租收入!G102*核心参数输入!$B$51,0)</f>
        <v>0</v>
      </c>
      <c r="H95" s="1">
        <f>IF(H$4&lt;=核心参数输入!$B$9,销售与出租收入!H102*核心参数输入!$B$51,0)</f>
        <v>31.595938919999998</v>
      </c>
      <c r="I95" s="1">
        <f>IF(I$4&lt;=核心参数输入!$B$9,销售与出租收入!I102*核心参数输入!$B$51,0)</f>
        <v>58.794776340299975</v>
      </c>
      <c r="J95" s="1">
        <f>IF(J$4&lt;=核心参数输入!$B$9,销售与出租收入!J102*核心参数输入!$B$51,0)</f>
        <v>77.308449662910334</v>
      </c>
      <c r="K95" s="1">
        <f>IF(K$4&lt;=核心参数输入!$B$9,销售与出租收入!K102*核心参数输入!$B$51,0)</f>
        <v>86.727873924470188</v>
      </c>
      <c r="L95" s="1">
        <f>IF(L$4&lt;=核心参数输入!$B$9,销售与出租收入!L102*核心参数输入!$B$51,0)</f>
        <v>89.426074446564812</v>
      </c>
      <c r="M95" s="1">
        <f>IF(M$4&lt;=核心参数输入!$B$9,销售与出租收入!M102*核心参数输入!$B$51,0)</f>
        <v>90.767465563263301</v>
      </c>
      <c r="N95" s="1">
        <f>IF(N$4&lt;=核心参数输入!$B$9,销售与出租收入!N102*核心参数输入!$B$51,0)</f>
        <v>92.128977546712207</v>
      </c>
      <c r="O95" s="1">
        <f>IF(O$4&lt;=核心参数输入!$B$9,销售与出租收入!O102*核心参数输入!$B$51,0)</f>
        <v>93.510912209912902</v>
      </c>
      <c r="P95" s="1">
        <f>IF(P$4&lt;=核心参数输入!$B$9,销售与出租收入!P102*核心参数输入!$B$51,0)</f>
        <v>94.913575893061562</v>
      </c>
      <c r="Q95" s="1">
        <f>IF(Q$4&lt;=核心参数输入!$B$9,销售与出租收入!Q102*核心参数输入!$B$51,0)</f>
        <v>96.337279531457483</v>
      </c>
      <c r="R95" s="1">
        <f>IF(R$4&lt;=核心参数输入!$B$9,销售与出租收入!R102*核心参数输入!$B$51,0)</f>
        <v>97.782338724429323</v>
      </c>
      <c r="S95" s="1">
        <f>IF(S$4&lt;=核心参数输入!$B$9,销售与出租收入!S102*核心参数输入!$B$51,0)</f>
        <v>99.249073805295751</v>
      </c>
      <c r="T95" s="1">
        <f>IF(T$4&lt;=核心参数输入!$B$9,销售与出租收入!T102*核心参数输入!$B$51,0)</f>
        <v>100.73780991237516</v>
      </c>
      <c r="U95" s="1">
        <f>IF(U$4&lt;=核心参数输入!$B$9,销售与出租收入!U102*核心参数输入!$B$51,0)</f>
        <v>102.2488770610608</v>
      </c>
      <c r="V95" s="1">
        <f>IF(V$4&lt;=核心参数输入!$B$9,销售与出租收入!V102*核心参数输入!$B$51,0)</f>
        <v>103.78261021697668</v>
      </c>
      <c r="W95" s="1">
        <f>IF(W$4&lt;=核心参数输入!$B$9,销售与出租收入!W102*核心参数输入!$B$51,0)</f>
        <v>105.33934937023132</v>
      </c>
      <c r="X95" s="1">
        <f>IF(X$4&lt;=核心参数输入!$B$9,销售与出租收入!X102*核心参数输入!$B$51,0)</f>
        <v>106.91943961078478</v>
      </c>
      <c r="Y95" s="1">
        <f>IF(Y$4&lt;=核心参数输入!$B$9,销售与出租收入!Y102*核心参数输入!$B$51,0)</f>
        <v>0</v>
      </c>
      <c r="Z95" s="1">
        <f>IF(Z$4&lt;=核心参数输入!$B$9,销售与出租收入!Z102*核心参数输入!$B$51,0)</f>
        <v>0</v>
      </c>
      <c r="AA95" s="1">
        <f>IF(AA$4&lt;=核心参数输入!$B$9,销售与出租收入!AA102*核心参数输入!$B$51,0)</f>
        <v>0</v>
      </c>
      <c r="AB95" s="1">
        <f>IF(AB$4&lt;=核心参数输入!$B$9,销售与出租收入!AB102*核心参数输入!$B$51,0)</f>
        <v>0</v>
      </c>
      <c r="AC95" s="1">
        <f>IF(AC$4&lt;=核心参数输入!$B$9,销售与出租收入!AC102*核心参数输入!$B$51,0)</f>
        <v>0</v>
      </c>
      <c r="AD95" s="1">
        <f>IF(AD$4&lt;=核心参数输入!$B$9,销售与出租收入!AD102*核心参数输入!$B$51,0)</f>
        <v>0</v>
      </c>
      <c r="AE95" s="1">
        <f>IF(AE$4&lt;=核心参数输入!$B$9,销售与出租收入!AE102*核心参数输入!$B$51,0)</f>
        <v>0</v>
      </c>
      <c r="AF95" s="1">
        <f>IF(AF$4&lt;=核心参数输入!$B$9,销售与出租收入!AF102*核心参数输入!$B$51,0)</f>
        <v>0</v>
      </c>
      <c r="AG95" s="1">
        <f>IF(AG$4&lt;=核心参数输入!$B$9,销售与出租收入!AG102*核心参数输入!$B$51,0)</f>
        <v>0</v>
      </c>
      <c r="AH95" s="1">
        <f>IF(AH$4&lt;=核心参数输入!$B$9,销售与出租收入!AH102*核心参数输入!$B$51,0)</f>
        <v>0</v>
      </c>
    </row>
    <row r="96" spans="1:34" ht="21" customHeight="1">
      <c r="A96" s="11" t="s">
        <v>244</v>
      </c>
      <c r="B96" s="11" t="s">
        <v>54</v>
      </c>
      <c r="D96" s="1">
        <f>IF(D$4&lt;=核心参数输入!$B$9,SUM(D90:D95),0)</f>
        <v>0</v>
      </c>
      <c r="E96" s="1">
        <f>IF(E$4&lt;=核心参数输入!$B$9,SUM(E90:E95),0)</f>
        <v>0</v>
      </c>
      <c r="F96" s="1">
        <f>IF(F$4&lt;=核心参数输入!$B$9,SUM(F90:F95),0)</f>
        <v>0</v>
      </c>
      <c r="G96" s="1">
        <f>IF(G$4&lt;=核心参数输入!$B$9,SUM(G90:G95),0)</f>
        <v>0</v>
      </c>
      <c r="H96" s="1">
        <f>IF(H$4&lt;=核心参数输入!$B$9,SUM(H90:H95),0)</f>
        <v>1943.0296917600001</v>
      </c>
      <c r="I96" s="1">
        <f>IF(I$4&lt;=核心参数输入!$B$9,SUM(I90:I95),0)</f>
        <v>2486.7068290208999</v>
      </c>
      <c r="J96" s="1">
        <f>IF(J$4&lt;=核心参数输入!$B$9,SUM(J90:J95),0)</f>
        <v>2092.2872239887311</v>
      </c>
      <c r="K96" s="1">
        <f>IF(K$4&lt;=核心参数输入!$B$9,SUM(K90:K95),0)</f>
        <v>758.54602177341053</v>
      </c>
      <c r="L96" s="1">
        <f>IF(L$4&lt;=核心参数输入!$B$9,SUM(L90:L95),0)</f>
        <v>773.00787133969447</v>
      </c>
      <c r="M96" s="1">
        <f>IF(M$4&lt;=核心参数输入!$B$9,SUM(M90:M95),0)</f>
        <v>783.5266376497899</v>
      </c>
      <c r="N96" s="1">
        <f>IF(N$4&lt;=核心参数输入!$B$9,SUM(N90:N95),0)</f>
        <v>794.23565841933669</v>
      </c>
      <c r="O96" s="1">
        <f>IF(O$4&lt;=核心参数输入!$B$9,SUM(O90:O95),0)</f>
        <v>805.13843692452269</v>
      </c>
      <c r="P96" s="1">
        <f>IF(P$4&lt;=核心参数输入!$B$9,SUM(P90:P95),0)</f>
        <v>816.23854197986429</v>
      </c>
      <c r="Q96" s="1">
        <f>IF(Q$4&lt;=核心参数输入!$B$9,SUM(Q90:Q95),0)</f>
        <v>827.53960918106566</v>
      </c>
      <c r="R96" s="1">
        <f>IF(R$4&lt;=核心参数输入!$B$9,SUM(R90:R95),0)</f>
        <v>839.04534217171511</v>
      </c>
      <c r="S96" s="1">
        <f>IF(S$4&lt;=核心参数输入!$B$9,SUM(S90:S95),0)</f>
        <v>850.75951393428284</v>
      </c>
      <c r="T96" s="1">
        <f>IF(T$4&lt;=核心参数输入!$B$9,SUM(T90:T95),0)</f>
        <v>862.68596810588906</v>
      </c>
      <c r="U96" s="1">
        <f>IF(U$4&lt;=核心参数输入!$B$9,SUM(U90:U95),0)</f>
        <v>874.82862031932109</v>
      </c>
      <c r="V96" s="1">
        <f>IF(V$4&lt;=核心参数输入!$B$9,SUM(V90:V95),0)</f>
        <v>887.19145956979162</v>
      </c>
      <c r="W96" s="1">
        <f>IF(W$4&lt;=核心参数输入!$B$9,SUM(W90:W95),0)</f>
        <v>899.77854960793263</v>
      </c>
      <c r="X96" s="1">
        <f>IF(X$4&lt;=核心参数输入!$B$9,SUM(X90:X95),0)</f>
        <v>912.59403035953801</v>
      </c>
      <c r="Y96" s="1">
        <f>IF(Y$4&lt;=核心参数输入!$B$9,SUM(Y90:Y95),0)</f>
        <v>0</v>
      </c>
      <c r="Z96" s="1">
        <f>IF(Z$4&lt;=核心参数输入!$B$9,SUM(Z90:Z95),0)</f>
        <v>0</v>
      </c>
      <c r="AA96" s="1">
        <f>IF(AA$4&lt;=核心参数输入!$B$9,SUM(AA90:AA95),0)</f>
        <v>0</v>
      </c>
      <c r="AB96" s="1">
        <f>IF(AB$4&lt;=核心参数输入!$B$9,SUM(AB90:AB95),0)</f>
        <v>0</v>
      </c>
      <c r="AC96" s="1">
        <f>IF(AC$4&lt;=核心参数输入!$B$9,SUM(AC90:AC95),0)</f>
        <v>0</v>
      </c>
      <c r="AD96" s="1">
        <f>IF(AD$4&lt;=核心参数输入!$B$9,SUM(AD90:AD95),0)</f>
        <v>0</v>
      </c>
      <c r="AE96" s="1">
        <f>IF(AE$4&lt;=核心参数输入!$B$9,SUM(AE90:AE95),0)</f>
        <v>0</v>
      </c>
      <c r="AF96" s="1">
        <f>IF(AF$4&lt;=核心参数输入!$B$9,SUM(AF90:AF95),0)</f>
        <v>0</v>
      </c>
      <c r="AG96" s="1">
        <f>IF(AG$4&lt;=核心参数输入!$B$9,SUM(AG90:AG95),0)</f>
        <v>0</v>
      </c>
      <c r="AH96" s="1">
        <f>IF(AH$4&lt;=核心参数输入!$B$9,SUM(AH90:AH95),0)</f>
        <v>0</v>
      </c>
    </row>
    <row r="97" spans="1:34" ht="21" customHeight="1">
      <c r="A97" s="11" t="s">
        <v>245</v>
      </c>
      <c r="B97" s="11" t="s">
        <v>54</v>
      </c>
      <c r="D97" s="1">
        <f>IF(D$4&lt;=核心参数输入!$B$9,投资与资金安排!$B$99*建筑面积与开发计划!D101,0)</f>
        <v>0</v>
      </c>
      <c r="E97" s="1">
        <f>IF(E$4&lt;=核心参数输入!$B$9,投资与资金安排!$B$99*建筑面积与开发计划!E101,0)</f>
        <v>0</v>
      </c>
      <c r="F97" s="1">
        <f>IF(F$4&lt;=核心参数输入!$B$9,投资与资金安排!$B$99*建筑面积与开发计划!F101,0)</f>
        <v>0</v>
      </c>
      <c r="G97" s="1">
        <f>IF(G$4&lt;=核心参数输入!$B$9,投资与资金安排!$B$99*建筑面积与开发计划!G101,0)</f>
        <v>0</v>
      </c>
      <c r="H97" s="1">
        <f>IF(H$4&lt;=核心参数输入!$B$9,投资与资金安排!$B$99*建筑面积与开发计划!H101,0)</f>
        <v>10924.980000000001</v>
      </c>
      <c r="I97" s="1">
        <f>IF(I$4&lt;=核心参数输入!$B$9,投资与资金安排!$B$99*建筑面积与开发计划!I101,0)</f>
        <v>14566.640000000003</v>
      </c>
      <c r="J97" s="1">
        <f>IF(J$4&lt;=核心参数输入!$B$9,投资与资金安排!$B$99*建筑面积与开发计划!J101,0)</f>
        <v>10924.980000000001</v>
      </c>
      <c r="K97" s="1">
        <f>IF(K$4&lt;=核心参数输入!$B$9,投资与资金安排!$B$99*建筑面积与开发计划!K101,0)</f>
        <v>0</v>
      </c>
      <c r="L97" s="1">
        <f>IF(L$4&lt;=核心参数输入!$B$9,投资与资金安排!$B$99*建筑面积与开发计划!L101,0)</f>
        <v>0</v>
      </c>
      <c r="M97" s="1">
        <f>IF(M$4&lt;=核心参数输入!$B$9,投资与资金安排!$B$99*建筑面积与开发计划!M101,0)</f>
        <v>0</v>
      </c>
      <c r="N97" s="1">
        <f>IF(N$4&lt;=核心参数输入!$B$9,投资与资金安排!$B$99*建筑面积与开发计划!N101,0)</f>
        <v>0</v>
      </c>
      <c r="O97" s="1">
        <f>IF(O$4&lt;=核心参数输入!$B$9,投资与资金安排!$B$99*建筑面积与开发计划!O101,0)</f>
        <v>0</v>
      </c>
      <c r="P97" s="1">
        <f>IF(P$4&lt;=核心参数输入!$B$9,投资与资金安排!$B$99*建筑面积与开发计划!P101,0)</f>
        <v>0</v>
      </c>
      <c r="Q97" s="1">
        <f>IF(Q$4&lt;=核心参数输入!$B$9,投资与资金安排!$B$99*建筑面积与开发计划!Q101,0)</f>
        <v>0</v>
      </c>
      <c r="R97" s="1">
        <f>IF(R$4&lt;=核心参数输入!$B$9,投资与资金安排!$B$99*建筑面积与开发计划!R101,0)</f>
        <v>0</v>
      </c>
      <c r="S97" s="1">
        <f>IF(S$4&lt;=核心参数输入!$B$9,投资与资金安排!$B$99*建筑面积与开发计划!S101,0)</f>
        <v>0</v>
      </c>
      <c r="T97" s="1">
        <f>IF(T$4&lt;=核心参数输入!$B$9,投资与资金安排!$B$99*建筑面积与开发计划!T101,0)</f>
        <v>0</v>
      </c>
      <c r="U97" s="1">
        <f>IF(U$4&lt;=核心参数输入!$B$9,投资与资金安排!$B$99*建筑面积与开发计划!U101,0)</f>
        <v>0</v>
      </c>
      <c r="V97" s="1">
        <f>IF(V$4&lt;=核心参数输入!$B$9,投资与资金安排!$B$99*建筑面积与开发计划!V101,0)</f>
        <v>0</v>
      </c>
      <c r="W97" s="1">
        <f>IF(W$4&lt;=核心参数输入!$B$9,投资与资金安排!$B$99*建筑面积与开发计划!W101,0)</f>
        <v>0</v>
      </c>
      <c r="X97" s="1">
        <f>IF(X$4&lt;=核心参数输入!$B$9,投资与资金安排!$B$99*建筑面积与开发计划!X101,0)</f>
        <v>0</v>
      </c>
      <c r="Y97" s="1">
        <f>IF(Y$4&lt;=核心参数输入!$B$9,投资与资金安排!$B$99*建筑面积与开发计划!Y101,0)</f>
        <v>0</v>
      </c>
      <c r="Z97" s="1">
        <f>IF(Z$4&lt;=核心参数输入!$B$9,投资与资金安排!$B$99*建筑面积与开发计划!Z101,0)</f>
        <v>0</v>
      </c>
      <c r="AA97" s="1">
        <f>IF(AA$4&lt;=核心参数输入!$B$9,投资与资金安排!$B$99*建筑面积与开发计划!AA101,0)</f>
        <v>0</v>
      </c>
      <c r="AB97" s="1">
        <f>IF(AB$4&lt;=核心参数输入!$B$9,投资与资金安排!$B$99*建筑面积与开发计划!AB101,0)</f>
        <v>0</v>
      </c>
      <c r="AC97" s="1">
        <f>IF(AC$4&lt;=核心参数输入!$B$9,投资与资金安排!$B$99*建筑面积与开发计划!AC101,0)</f>
        <v>0</v>
      </c>
      <c r="AD97" s="1">
        <f>IF(AD$4&lt;=核心参数输入!$B$9,投资与资金安排!$B$99*建筑面积与开发计划!AD101,0)</f>
        <v>0</v>
      </c>
      <c r="AE97" s="1">
        <f>IF(AE$4&lt;=核心参数输入!$B$9,投资与资金安排!$B$99*建筑面积与开发计划!AE101,0)</f>
        <v>0</v>
      </c>
      <c r="AF97" s="1">
        <f>IF(AF$4&lt;=核心参数输入!$B$9,投资与资金安排!$B$99*建筑面积与开发计划!AF101,0)</f>
        <v>0</v>
      </c>
      <c r="AG97" s="1">
        <f>IF(AG$4&lt;=核心参数输入!$B$9,投资与资金安排!$B$99*建筑面积与开发计划!AG101,0)</f>
        <v>0</v>
      </c>
      <c r="AH97" s="1">
        <f>IF(AH$4&lt;=核心参数输入!$B$9,投资与资金安排!$B$99*建筑面积与开发计划!AH101,0)</f>
        <v>0</v>
      </c>
    </row>
    <row r="98" spans="1:34" ht="21" customHeight="1">
      <c r="A98" s="11" t="s">
        <v>246</v>
      </c>
      <c r="B98" s="11" t="s">
        <v>54</v>
      </c>
      <c r="D98" s="1">
        <f>IF(D$4&lt;=核心参数输入!$B$9,投资与资金安排!$B$102*建筑面积与开发计划!D101,0)</f>
        <v>0</v>
      </c>
      <c r="E98" s="1">
        <f>IF(E$4&lt;=核心参数输入!$B$9,投资与资金安排!$B$102*建筑面积与开发计划!E101,0)</f>
        <v>0</v>
      </c>
      <c r="F98" s="1">
        <f>IF(F$4&lt;=核心参数输入!$B$9,投资与资金安排!$B$102*建筑面积与开发计划!F101,0)</f>
        <v>0</v>
      </c>
      <c r="G98" s="1">
        <f>IF(G$4&lt;=核心参数输入!$B$9,投资与资金安排!$B$102*建筑面积与开发计划!G101,0)</f>
        <v>0</v>
      </c>
      <c r="H98" s="1">
        <f>IF(H$4&lt;=核心参数输入!$B$9,投资与资金安排!$B$102*建筑面积与开发计划!H101,0)</f>
        <v>11236.830000000002</v>
      </c>
      <c r="I98" s="1">
        <f>IF(I$4&lt;=核心参数输入!$B$9,投资与资金安排!$B$102*建筑面积与开发计划!I101,0)</f>
        <v>14982.440000000002</v>
      </c>
      <c r="J98" s="1">
        <f>IF(J$4&lt;=核心参数输入!$B$9,投资与资金安排!$B$102*建筑面积与开发计划!J101,0)</f>
        <v>11236.830000000002</v>
      </c>
      <c r="K98" s="1">
        <f>IF(K$4&lt;=核心参数输入!$B$9,投资与资金安排!$B$102*建筑面积与开发计划!K101,0)</f>
        <v>0</v>
      </c>
      <c r="L98" s="1">
        <f>IF(L$4&lt;=核心参数输入!$B$9,投资与资金安排!$B$102*建筑面积与开发计划!L101,0)</f>
        <v>0</v>
      </c>
      <c r="M98" s="1">
        <f>IF(M$4&lt;=核心参数输入!$B$9,投资与资金安排!$B$102*建筑面积与开发计划!M101,0)</f>
        <v>0</v>
      </c>
      <c r="N98" s="1">
        <f>IF(N$4&lt;=核心参数输入!$B$9,投资与资金安排!$B$102*建筑面积与开发计划!N101,0)</f>
        <v>0</v>
      </c>
      <c r="O98" s="1">
        <f>IF(O$4&lt;=核心参数输入!$B$9,投资与资金安排!$B$102*建筑面积与开发计划!O101,0)</f>
        <v>0</v>
      </c>
      <c r="P98" s="1">
        <f>IF(P$4&lt;=核心参数输入!$B$9,投资与资金安排!$B$102*建筑面积与开发计划!P101,0)</f>
        <v>0</v>
      </c>
      <c r="Q98" s="1">
        <f>IF(Q$4&lt;=核心参数输入!$B$9,投资与资金安排!$B$102*建筑面积与开发计划!Q101,0)</f>
        <v>0</v>
      </c>
      <c r="R98" s="1">
        <f>IF(R$4&lt;=核心参数输入!$B$9,投资与资金安排!$B$102*建筑面积与开发计划!R101,0)</f>
        <v>0</v>
      </c>
      <c r="S98" s="1">
        <f>IF(S$4&lt;=核心参数输入!$B$9,投资与资金安排!$B$102*建筑面积与开发计划!S101,0)</f>
        <v>0</v>
      </c>
      <c r="T98" s="1">
        <f>IF(T$4&lt;=核心参数输入!$B$9,投资与资金安排!$B$102*建筑面积与开发计划!T101,0)</f>
        <v>0</v>
      </c>
      <c r="U98" s="1">
        <f>IF(U$4&lt;=核心参数输入!$B$9,投资与资金安排!$B$102*建筑面积与开发计划!U101,0)</f>
        <v>0</v>
      </c>
      <c r="V98" s="1">
        <f>IF(V$4&lt;=核心参数输入!$B$9,投资与资金安排!$B$102*建筑面积与开发计划!V101,0)</f>
        <v>0</v>
      </c>
      <c r="W98" s="1">
        <f>IF(W$4&lt;=核心参数输入!$B$9,投资与资金安排!$B$102*建筑面积与开发计划!W101,0)</f>
        <v>0</v>
      </c>
      <c r="X98" s="1">
        <f>IF(X$4&lt;=核心参数输入!$B$9,投资与资金安排!$B$102*建筑面积与开发计划!X101,0)</f>
        <v>0</v>
      </c>
      <c r="Y98" s="1">
        <f>IF(Y$4&lt;=核心参数输入!$B$9,投资与资金安排!$B$102*建筑面积与开发计划!Y101,0)</f>
        <v>0</v>
      </c>
      <c r="Z98" s="1">
        <f>IF(Z$4&lt;=核心参数输入!$B$9,投资与资金安排!$B$102*建筑面积与开发计划!Z101,0)</f>
        <v>0</v>
      </c>
      <c r="AA98" s="1">
        <f>IF(AA$4&lt;=核心参数输入!$B$9,投资与资金安排!$B$102*建筑面积与开发计划!AA101,0)</f>
        <v>0</v>
      </c>
      <c r="AB98" s="1">
        <f>IF(AB$4&lt;=核心参数输入!$B$9,投资与资金安排!$B$102*建筑面积与开发计划!AB101,0)</f>
        <v>0</v>
      </c>
      <c r="AC98" s="1">
        <f>IF(AC$4&lt;=核心参数输入!$B$9,投资与资金安排!$B$102*建筑面积与开发计划!AC101,0)</f>
        <v>0</v>
      </c>
      <c r="AD98" s="1">
        <f>IF(AD$4&lt;=核心参数输入!$B$9,投资与资金安排!$B$102*建筑面积与开发计划!AD101,0)</f>
        <v>0</v>
      </c>
      <c r="AE98" s="1">
        <f>IF(AE$4&lt;=核心参数输入!$B$9,投资与资金安排!$B$102*建筑面积与开发计划!AE101,0)</f>
        <v>0</v>
      </c>
      <c r="AF98" s="1">
        <f>IF(AF$4&lt;=核心参数输入!$B$9,投资与资金安排!$B$102*建筑面积与开发计划!AF101,0)</f>
        <v>0</v>
      </c>
      <c r="AG98" s="1">
        <f>IF(AG$4&lt;=核心参数输入!$B$9,投资与资金安排!$B$102*建筑面积与开发计划!AG101,0)</f>
        <v>0</v>
      </c>
      <c r="AH98" s="1">
        <f>IF(AH$4&lt;=核心参数输入!$B$9,投资与资金安排!$B$102*建筑面积与开发计划!AH101,0)</f>
        <v>0</v>
      </c>
    </row>
    <row r="99" spans="1:34" ht="21" customHeight="1">
      <c r="A99" s="11" t="s">
        <v>247</v>
      </c>
      <c r="B99" s="11" t="s">
        <v>54</v>
      </c>
      <c r="D99" s="1">
        <f>IF(D$4&lt;=核心参数输入!$B$9,IF(AND(D$4-核心参数输入!$B$16&gt;0,D$4-核心参数输入!$B$16&lt;=核心参数输入!$B$53),投资与资金安排!$B$100*(1-核心参数输入!$B$54)/MAX(1,核心参数输入!$B$53),0),0)</f>
        <v>0</v>
      </c>
      <c r="E99" s="1">
        <f>IF(E$4&lt;=核心参数输入!$B$9,IF(AND(E$4-核心参数输入!$B$16&gt;0,E$4-核心参数输入!$B$16&lt;=核心参数输入!$B$53),投资与资金安排!$B$100*(1-核心参数输入!$B$54)/MAX(1,核心参数输入!$B$53),0),0)</f>
        <v>0</v>
      </c>
      <c r="F99" s="1">
        <f>IF(F$4&lt;=核心参数输入!$B$9,IF(AND(F$4-核心参数输入!$B$16&gt;0,F$4-核心参数输入!$B$16&lt;=核心参数输入!$B$53),投资与资金安排!$B$100*(1-核心参数输入!$B$54)/MAX(1,核心参数输入!$B$53),0),0)</f>
        <v>0</v>
      </c>
      <c r="G99" s="1">
        <f>IF(G$4&lt;=核心参数输入!$B$9,IF(AND(G$4-核心参数输入!$B$16&gt;0,G$4-核心参数输入!$B$16&lt;=核心参数输入!$B$53),投资与资金安排!$B$100*(1-核心参数输入!$B$54)/MAX(1,核心参数输入!$B$53),0),0)</f>
        <v>0</v>
      </c>
      <c r="H99" s="1">
        <f>IF(H$4&lt;=核心参数输入!$B$9,IF(AND(H$4-核心参数输入!$B$16&gt;0,H$4-核心参数输入!$B$16&lt;=核心参数输入!$B$53),投资与资金安排!$B$100*(1-核心参数输入!$B$54)/MAX(1,核心参数输入!$B$53),0),0)</f>
        <v>829.52099999999996</v>
      </c>
      <c r="I99" s="1">
        <f>IF(I$4&lt;=核心参数输入!$B$9,IF(AND(I$4-核心参数输入!$B$16&gt;0,I$4-核心参数输入!$B$16&lt;=核心参数输入!$B$53),投资与资金安排!$B$100*(1-核心参数输入!$B$54)/MAX(1,核心参数输入!$B$53),0),0)</f>
        <v>829.52099999999996</v>
      </c>
      <c r="J99" s="1">
        <f>IF(J$4&lt;=核心参数输入!$B$9,IF(AND(J$4-核心参数输入!$B$16&gt;0,J$4-核心参数输入!$B$16&lt;=核心参数输入!$B$53),投资与资金安排!$B$100*(1-核心参数输入!$B$54)/MAX(1,核心参数输入!$B$53),0),0)</f>
        <v>829.52099999999996</v>
      </c>
      <c r="K99" s="1">
        <f>IF(K$4&lt;=核心参数输入!$B$9,IF(AND(K$4-核心参数输入!$B$16&gt;0,K$4-核心参数输入!$B$16&lt;=核心参数输入!$B$53),投资与资金安排!$B$100*(1-核心参数输入!$B$54)/MAX(1,核心参数输入!$B$53),0),0)</f>
        <v>829.52099999999996</v>
      </c>
      <c r="L99" s="1">
        <f>IF(L$4&lt;=核心参数输入!$B$9,IF(AND(L$4-核心参数输入!$B$16&gt;0,L$4-核心参数输入!$B$16&lt;=核心参数输入!$B$53),投资与资金安排!$B$100*(1-核心参数输入!$B$54)/MAX(1,核心参数输入!$B$53),0),0)</f>
        <v>829.52099999999996</v>
      </c>
      <c r="M99" s="1">
        <f>IF(M$4&lt;=核心参数输入!$B$9,IF(AND(M$4-核心参数输入!$B$16&gt;0,M$4-核心参数输入!$B$16&lt;=核心参数输入!$B$53),投资与资金安排!$B$100*(1-核心参数输入!$B$54)/MAX(1,核心参数输入!$B$53),0),0)</f>
        <v>829.52099999999996</v>
      </c>
      <c r="N99" s="1">
        <f>IF(N$4&lt;=核心参数输入!$B$9,IF(AND(N$4-核心参数输入!$B$16&gt;0,N$4-核心参数输入!$B$16&lt;=核心参数输入!$B$53),投资与资金安排!$B$100*(1-核心参数输入!$B$54)/MAX(1,核心参数输入!$B$53),0),0)</f>
        <v>829.52099999999996</v>
      </c>
      <c r="O99" s="1">
        <f>IF(O$4&lt;=核心参数输入!$B$9,IF(AND(O$4-核心参数输入!$B$16&gt;0,O$4-核心参数输入!$B$16&lt;=核心参数输入!$B$53),投资与资金安排!$B$100*(1-核心参数输入!$B$54)/MAX(1,核心参数输入!$B$53),0),0)</f>
        <v>829.52099999999996</v>
      </c>
      <c r="P99" s="1">
        <f>IF(P$4&lt;=核心参数输入!$B$9,IF(AND(P$4-核心参数输入!$B$16&gt;0,P$4-核心参数输入!$B$16&lt;=核心参数输入!$B$53),投资与资金安排!$B$100*(1-核心参数输入!$B$54)/MAX(1,核心参数输入!$B$53),0),0)</f>
        <v>829.52099999999996</v>
      </c>
      <c r="Q99" s="1">
        <f>IF(Q$4&lt;=核心参数输入!$B$9,IF(AND(Q$4-核心参数输入!$B$16&gt;0,Q$4-核心参数输入!$B$16&lt;=核心参数输入!$B$53),投资与资金安排!$B$100*(1-核心参数输入!$B$54)/MAX(1,核心参数输入!$B$53),0),0)</f>
        <v>829.52099999999996</v>
      </c>
      <c r="R99" s="1">
        <f>IF(R$4&lt;=核心参数输入!$B$9,IF(AND(R$4-核心参数输入!$B$16&gt;0,R$4-核心参数输入!$B$16&lt;=核心参数输入!$B$53),投资与资金安排!$B$100*(1-核心参数输入!$B$54)/MAX(1,核心参数输入!$B$53),0),0)</f>
        <v>829.52099999999996</v>
      </c>
      <c r="S99" s="1">
        <f>IF(S$4&lt;=核心参数输入!$B$9,IF(AND(S$4-核心参数输入!$B$16&gt;0,S$4-核心参数输入!$B$16&lt;=核心参数输入!$B$53),投资与资金安排!$B$100*(1-核心参数输入!$B$54)/MAX(1,核心参数输入!$B$53),0),0)</f>
        <v>829.52099999999996</v>
      </c>
      <c r="T99" s="1">
        <f>IF(T$4&lt;=核心参数输入!$B$9,IF(AND(T$4-核心参数输入!$B$16&gt;0,T$4-核心参数输入!$B$16&lt;=核心参数输入!$B$53),投资与资金安排!$B$100*(1-核心参数输入!$B$54)/MAX(1,核心参数输入!$B$53),0),0)</f>
        <v>829.52099999999996</v>
      </c>
      <c r="U99" s="1">
        <f>IF(U$4&lt;=核心参数输入!$B$9,IF(AND(U$4-核心参数输入!$B$16&gt;0,U$4-核心参数输入!$B$16&lt;=核心参数输入!$B$53),投资与资金安排!$B$100*(1-核心参数输入!$B$54)/MAX(1,核心参数输入!$B$53),0),0)</f>
        <v>829.52099999999996</v>
      </c>
      <c r="V99" s="1">
        <f>IF(V$4&lt;=核心参数输入!$B$9,IF(AND(V$4-核心参数输入!$B$16&gt;0,V$4-核心参数输入!$B$16&lt;=核心参数输入!$B$53),投资与资金安排!$B$100*(1-核心参数输入!$B$54)/MAX(1,核心参数输入!$B$53),0),0)</f>
        <v>829.52099999999996</v>
      </c>
      <c r="W99" s="1">
        <f>IF(W$4&lt;=核心参数输入!$B$9,IF(AND(W$4-核心参数输入!$B$16&gt;0,W$4-核心参数输入!$B$16&lt;=核心参数输入!$B$53),投资与资金安排!$B$100*(1-核心参数输入!$B$54)/MAX(1,核心参数输入!$B$53),0),0)</f>
        <v>829.52099999999996</v>
      </c>
      <c r="X99" s="1">
        <f>IF(X$4&lt;=核心参数输入!$B$9,IF(AND(X$4-核心参数输入!$B$16&gt;0,X$4-核心参数输入!$B$16&lt;=核心参数输入!$B$53),投资与资金安排!$B$100*(1-核心参数输入!$B$54)/MAX(1,核心参数输入!$B$53),0),0)</f>
        <v>829.52099999999996</v>
      </c>
      <c r="Y99" s="1">
        <f>IF(Y$4&lt;=核心参数输入!$B$9,IF(AND(Y$4-核心参数输入!$B$16&gt;0,Y$4-核心参数输入!$B$16&lt;=核心参数输入!$B$53),投资与资金安排!$B$100*(1-核心参数输入!$B$54)/MAX(1,核心参数输入!$B$53),0),0)</f>
        <v>0</v>
      </c>
      <c r="Z99" s="1">
        <f>IF(Z$4&lt;=核心参数输入!$B$9,IF(AND(Z$4-核心参数输入!$B$16&gt;0,Z$4-核心参数输入!$B$16&lt;=核心参数输入!$B$53),投资与资金安排!$B$100*(1-核心参数输入!$B$54)/MAX(1,核心参数输入!$B$53),0),0)</f>
        <v>0</v>
      </c>
      <c r="AA99" s="1">
        <f>IF(AA$4&lt;=核心参数输入!$B$9,IF(AND(AA$4-核心参数输入!$B$16&gt;0,AA$4-核心参数输入!$B$16&lt;=核心参数输入!$B$53),投资与资金安排!$B$100*(1-核心参数输入!$B$54)/MAX(1,核心参数输入!$B$53),0),0)</f>
        <v>0</v>
      </c>
      <c r="AB99" s="1">
        <f>IF(AB$4&lt;=核心参数输入!$B$9,IF(AND(AB$4-核心参数输入!$B$16&gt;0,AB$4-核心参数输入!$B$16&lt;=核心参数输入!$B$53),投资与资金安排!$B$100*(1-核心参数输入!$B$54)/MAX(1,核心参数输入!$B$53),0),0)</f>
        <v>0</v>
      </c>
      <c r="AC99" s="1">
        <f>IF(AC$4&lt;=核心参数输入!$B$9,IF(AND(AC$4-核心参数输入!$B$16&gt;0,AC$4-核心参数输入!$B$16&lt;=核心参数输入!$B$53),投资与资金安排!$B$100*(1-核心参数输入!$B$54)/MAX(1,核心参数输入!$B$53),0),0)</f>
        <v>0</v>
      </c>
      <c r="AD99" s="1">
        <f>IF(AD$4&lt;=核心参数输入!$B$9,IF(AND(AD$4-核心参数输入!$B$16&gt;0,AD$4-核心参数输入!$B$16&lt;=核心参数输入!$B$53),投资与资金安排!$B$100*(1-核心参数输入!$B$54)/MAX(1,核心参数输入!$B$53),0),0)</f>
        <v>0</v>
      </c>
      <c r="AE99" s="1">
        <f>IF(AE$4&lt;=核心参数输入!$B$9,IF(AND(AE$4-核心参数输入!$B$16&gt;0,AE$4-核心参数输入!$B$16&lt;=核心参数输入!$B$53),投资与资金安排!$B$100*(1-核心参数输入!$B$54)/MAX(1,核心参数输入!$B$53),0),0)</f>
        <v>0</v>
      </c>
      <c r="AF99" s="1">
        <f>IF(AF$4&lt;=核心参数输入!$B$9,IF(AND(AF$4-核心参数输入!$B$16&gt;0,AF$4-核心参数输入!$B$16&lt;=核心参数输入!$B$53),投资与资金安排!$B$100*(1-核心参数输入!$B$54)/MAX(1,核心参数输入!$B$53),0),0)</f>
        <v>0</v>
      </c>
      <c r="AG99" s="1">
        <f>IF(AG$4&lt;=核心参数输入!$B$9,IF(AND(AG$4-核心参数输入!$B$16&gt;0,AG$4-核心参数输入!$B$16&lt;=核心参数输入!$B$53),投资与资金安排!$B$100*(1-核心参数输入!$B$54)/MAX(1,核心参数输入!$B$53),0),0)</f>
        <v>0</v>
      </c>
      <c r="AH99" s="1">
        <f>IF(AH$4&lt;=核心参数输入!$B$9,IF(AND(AH$4-核心参数输入!$B$16&gt;0,AH$4-核心参数输入!$B$16&lt;=核心参数输入!$B$53),投资与资金安排!$B$100*(1-核心参数输入!$B$54)/MAX(1,核心参数输入!$B$53),0),0)</f>
        <v>0</v>
      </c>
    </row>
    <row r="100" spans="1:34" ht="21" customHeight="1">
      <c r="A100" s="11" t="s">
        <v>248</v>
      </c>
      <c r="B100" s="11" t="s">
        <v>54</v>
      </c>
      <c r="D100" s="1">
        <f>IF(D$4&lt;=核心参数输入!$B$9,IF(AND(D$4-核心参数输入!$B$16&gt;0,D$4-核心参数输入!$B$16&lt;=核心参数输入!$B$53),投资与资金安排!$B$103*(1-核心参数输入!$B$54)/MAX(1,核心参数输入!$B$53),0),0)</f>
        <v>0</v>
      </c>
      <c r="E100" s="1">
        <f>IF(E$4&lt;=核心参数输入!$B$9,IF(AND(E$4-核心参数输入!$B$16&gt;0,E$4-核心参数输入!$B$16&lt;=核心参数输入!$B$53),投资与资金安排!$B$103*(1-核心参数输入!$B$54)/MAX(1,核心参数输入!$B$53),0),0)</f>
        <v>0</v>
      </c>
      <c r="F100" s="1">
        <f>IF(F$4&lt;=核心参数输入!$B$9,IF(AND(F$4-核心参数输入!$B$16&gt;0,F$4-核心参数输入!$B$16&lt;=核心参数输入!$B$53),投资与资金安排!$B$103*(1-核心参数输入!$B$54)/MAX(1,核心参数输入!$B$53),0),0)</f>
        <v>0</v>
      </c>
      <c r="G100" s="1">
        <f>IF(G$4&lt;=核心参数输入!$B$9,IF(AND(G$4-核心参数输入!$B$16&gt;0,G$4-核心参数输入!$B$16&lt;=核心参数输入!$B$53),投资与资金安排!$B$103*(1-核心参数输入!$B$54)/MAX(1,核心参数输入!$B$53),0),0)</f>
        <v>0</v>
      </c>
      <c r="H100" s="1">
        <f>IF(H$4&lt;=核心参数输入!$B$9,IF(AND(H$4-核心参数输入!$B$16&gt;0,H$4-核心参数输入!$B$16&lt;=核心参数输入!$B$53),投资与资金安排!$B$103*(1-核心参数输入!$B$54)/MAX(1,核心参数输入!$B$53),0),0)</f>
        <v>856.45349999999985</v>
      </c>
      <c r="I100" s="1">
        <f>IF(I$4&lt;=核心参数输入!$B$9,IF(AND(I$4-核心参数输入!$B$16&gt;0,I$4-核心参数输入!$B$16&lt;=核心参数输入!$B$53),投资与资金安排!$B$103*(1-核心参数输入!$B$54)/MAX(1,核心参数输入!$B$53),0),0)</f>
        <v>856.45349999999985</v>
      </c>
      <c r="J100" s="1">
        <f>IF(J$4&lt;=核心参数输入!$B$9,IF(AND(J$4-核心参数输入!$B$16&gt;0,J$4-核心参数输入!$B$16&lt;=核心参数输入!$B$53),投资与资金安排!$B$103*(1-核心参数输入!$B$54)/MAX(1,核心参数输入!$B$53),0),0)</f>
        <v>856.45349999999985</v>
      </c>
      <c r="K100" s="1">
        <f>IF(K$4&lt;=核心参数输入!$B$9,IF(AND(K$4-核心参数输入!$B$16&gt;0,K$4-核心参数输入!$B$16&lt;=核心参数输入!$B$53),投资与资金安排!$B$103*(1-核心参数输入!$B$54)/MAX(1,核心参数输入!$B$53),0),0)</f>
        <v>856.45349999999985</v>
      </c>
      <c r="L100" s="1">
        <f>IF(L$4&lt;=核心参数输入!$B$9,IF(AND(L$4-核心参数输入!$B$16&gt;0,L$4-核心参数输入!$B$16&lt;=核心参数输入!$B$53),投资与资金安排!$B$103*(1-核心参数输入!$B$54)/MAX(1,核心参数输入!$B$53),0),0)</f>
        <v>856.45349999999985</v>
      </c>
      <c r="M100" s="1">
        <f>IF(M$4&lt;=核心参数输入!$B$9,IF(AND(M$4-核心参数输入!$B$16&gt;0,M$4-核心参数输入!$B$16&lt;=核心参数输入!$B$53),投资与资金安排!$B$103*(1-核心参数输入!$B$54)/MAX(1,核心参数输入!$B$53),0),0)</f>
        <v>856.45349999999985</v>
      </c>
      <c r="N100" s="1">
        <f>IF(N$4&lt;=核心参数输入!$B$9,IF(AND(N$4-核心参数输入!$B$16&gt;0,N$4-核心参数输入!$B$16&lt;=核心参数输入!$B$53),投资与资金安排!$B$103*(1-核心参数输入!$B$54)/MAX(1,核心参数输入!$B$53),0),0)</f>
        <v>856.45349999999985</v>
      </c>
      <c r="O100" s="1">
        <f>IF(O$4&lt;=核心参数输入!$B$9,IF(AND(O$4-核心参数输入!$B$16&gt;0,O$4-核心参数输入!$B$16&lt;=核心参数输入!$B$53),投资与资金安排!$B$103*(1-核心参数输入!$B$54)/MAX(1,核心参数输入!$B$53),0),0)</f>
        <v>856.45349999999985</v>
      </c>
      <c r="P100" s="1">
        <f>IF(P$4&lt;=核心参数输入!$B$9,IF(AND(P$4-核心参数输入!$B$16&gt;0,P$4-核心参数输入!$B$16&lt;=核心参数输入!$B$53),投资与资金安排!$B$103*(1-核心参数输入!$B$54)/MAX(1,核心参数输入!$B$53),0),0)</f>
        <v>856.45349999999985</v>
      </c>
      <c r="Q100" s="1">
        <f>IF(Q$4&lt;=核心参数输入!$B$9,IF(AND(Q$4-核心参数输入!$B$16&gt;0,Q$4-核心参数输入!$B$16&lt;=核心参数输入!$B$53),投资与资金安排!$B$103*(1-核心参数输入!$B$54)/MAX(1,核心参数输入!$B$53),0),0)</f>
        <v>856.45349999999985</v>
      </c>
      <c r="R100" s="1">
        <f>IF(R$4&lt;=核心参数输入!$B$9,IF(AND(R$4-核心参数输入!$B$16&gt;0,R$4-核心参数输入!$B$16&lt;=核心参数输入!$B$53),投资与资金安排!$B$103*(1-核心参数输入!$B$54)/MAX(1,核心参数输入!$B$53),0),0)</f>
        <v>856.45349999999985</v>
      </c>
      <c r="S100" s="1">
        <f>IF(S$4&lt;=核心参数输入!$B$9,IF(AND(S$4-核心参数输入!$B$16&gt;0,S$4-核心参数输入!$B$16&lt;=核心参数输入!$B$53),投资与资金安排!$B$103*(1-核心参数输入!$B$54)/MAX(1,核心参数输入!$B$53),0),0)</f>
        <v>856.45349999999985</v>
      </c>
      <c r="T100" s="1">
        <f>IF(T$4&lt;=核心参数输入!$B$9,IF(AND(T$4-核心参数输入!$B$16&gt;0,T$4-核心参数输入!$B$16&lt;=核心参数输入!$B$53),投资与资金安排!$B$103*(1-核心参数输入!$B$54)/MAX(1,核心参数输入!$B$53),0),0)</f>
        <v>856.45349999999985</v>
      </c>
      <c r="U100" s="1">
        <f>IF(U$4&lt;=核心参数输入!$B$9,IF(AND(U$4-核心参数输入!$B$16&gt;0,U$4-核心参数输入!$B$16&lt;=核心参数输入!$B$53),投资与资金安排!$B$103*(1-核心参数输入!$B$54)/MAX(1,核心参数输入!$B$53),0),0)</f>
        <v>856.45349999999985</v>
      </c>
      <c r="V100" s="1">
        <f>IF(V$4&lt;=核心参数输入!$B$9,IF(AND(V$4-核心参数输入!$B$16&gt;0,V$4-核心参数输入!$B$16&lt;=核心参数输入!$B$53),投资与资金安排!$B$103*(1-核心参数输入!$B$54)/MAX(1,核心参数输入!$B$53),0),0)</f>
        <v>856.45349999999985</v>
      </c>
      <c r="W100" s="1">
        <f>IF(W$4&lt;=核心参数输入!$B$9,IF(AND(W$4-核心参数输入!$B$16&gt;0,W$4-核心参数输入!$B$16&lt;=核心参数输入!$B$53),投资与资金安排!$B$103*(1-核心参数输入!$B$54)/MAX(1,核心参数输入!$B$53),0),0)</f>
        <v>856.45349999999985</v>
      </c>
      <c r="X100" s="1">
        <f>IF(X$4&lt;=核心参数输入!$B$9,IF(AND(X$4-核心参数输入!$B$16&gt;0,X$4-核心参数输入!$B$16&lt;=核心参数输入!$B$53),投资与资金安排!$B$103*(1-核心参数输入!$B$54)/MAX(1,核心参数输入!$B$53),0),0)</f>
        <v>856.45349999999985</v>
      </c>
      <c r="Y100" s="1">
        <f>IF(Y$4&lt;=核心参数输入!$B$9,IF(AND(Y$4-核心参数输入!$B$16&gt;0,Y$4-核心参数输入!$B$16&lt;=核心参数输入!$B$53),投资与资金安排!$B$103*(1-核心参数输入!$B$54)/MAX(1,核心参数输入!$B$53),0),0)</f>
        <v>0</v>
      </c>
      <c r="Z100" s="1">
        <f>IF(Z$4&lt;=核心参数输入!$B$9,IF(AND(Z$4-核心参数输入!$B$16&gt;0,Z$4-核心参数输入!$B$16&lt;=核心参数输入!$B$53),投资与资金安排!$B$103*(1-核心参数输入!$B$54)/MAX(1,核心参数输入!$B$53),0),0)</f>
        <v>0</v>
      </c>
      <c r="AA100" s="1">
        <f>IF(AA$4&lt;=核心参数输入!$B$9,IF(AND(AA$4-核心参数输入!$B$16&gt;0,AA$4-核心参数输入!$B$16&lt;=核心参数输入!$B$53),投资与资金安排!$B$103*(1-核心参数输入!$B$54)/MAX(1,核心参数输入!$B$53),0),0)</f>
        <v>0</v>
      </c>
      <c r="AB100" s="1">
        <f>IF(AB$4&lt;=核心参数输入!$B$9,IF(AND(AB$4-核心参数输入!$B$16&gt;0,AB$4-核心参数输入!$B$16&lt;=核心参数输入!$B$53),投资与资金安排!$B$103*(1-核心参数输入!$B$54)/MAX(1,核心参数输入!$B$53),0),0)</f>
        <v>0</v>
      </c>
      <c r="AC100" s="1">
        <f>IF(AC$4&lt;=核心参数输入!$B$9,IF(AND(AC$4-核心参数输入!$B$16&gt;0,AC$4-核心参数输入!$B$16&lt;=核心参数输入!$B$53),投资与资金安排!$B$103*(1-核心参数输入!$B$54)/MAX(1,核心参数输入!$B$53),0),0)</f>
        <v>0</v>
      </c>
      <c r="AD100" s="1">
        <f>IF(AD$4&lt;=核心参数输入!$B$9,IF(AND(AD$4-核心参数输入!$B$16&gt;0,AD$4-核心参数输入!$B$16&lt;=核心参数输入!$B$53),投资与资金安排!$B$103*(1-核心参数输入!$B$54)/MAX(1,核心参数输入!$B$53),0),0)</f>
        <v>0</v>
      </c>
      <c r="AE100" s="1">
        <f>IF(AE$4&lt;=核心参数输入!$B$9,IF(AND(AE$4-核心参数输入!$B$16&gt;0,AE$4-核心参数输入!$B$16&lt;=核心参数输入!$B$53),投资与资金安排!$B$103*(1-核心参数输入!$B$54)/MAX(1,核心参数输入!$B$53),0),0)</f>
        <v>0</v>
      </c>
      <c r="AF100" s="1">
        <f>IF(AF$4&lt;=核心参数输入!$B$9,IF(AND(AF$4-核心参数输入!$B$16&gt;0,AF$4-核心参数输入!$B$16&lt;=核心参数输入!$B$53),投资与资金安排!$B$103*(1-核心参数输入!$B$54)/MAX(1,核心参数输入!$B$53),0),0)</f>
        <v>0</v>
      </c>
      <c r="AG100" s="1">
        <f>IF(AG$4&lt;=核心参数输入!$B$9,IF(AND(AG$4-核心参数输入!$B$16&gt;0,AG$4-核心参数输入!$B$16&lt;=核心参数输入!$B$53),投资与资金安排!$B$103*(1-核心参数输入!$B$54)/MAX(1,核心参数输入!$B$53),0),0)</f>
        <v>0</v>
      </c>
      <c r="AH100" s="1">
        <f>IF(AH$4&lt;=核心参数输入!$B$9,IF(AND(AH$4-核心参数输入!$B$16&gt;0,AH$4-核心参数输入!$B$16&lt;=核心参数输入!$B$53),投资与资金安排!$B$103*(1-核心参数输入!$B$54)/MAX(1,核心参数输入!$B$53),0),0)</f>
        <v>0</v>
      </c>
    </row>
    <row r="101" spans="1:34" ht="21" customHeight="1">
      <c r="A101" s="11" t="s">
        <v>249</v>
      </c>
      <c r="B101" s="11" t="s">
        <v>54</v>
      </c>
      <c r="D101" s="1">
        <f>IF(D$4&lt;=核心参数输入!$B$9,(SUM(投资与资金安排!$D$108:D108)+SUM(投资与资金安排!$D$109:D109))*核心参数输入!$B$15-SUM($D99:D99),0)</f>
        <v>3599.9999999999995</v>
      </c>
      <c r="E101" s="1">
        <f>IF(E$4&lt;=核心参数输入!$B$9,(SUM(投资与资金安排!$D$108:E108)+SUM(投资与资金安排!$D$109:E109))*核心参数输入!$B$15-SUM($D99:E99),0)</f>
        <v>11458.619999999999</v>
      </c>
      <c r="F101" s="1">
        <f>IF(F$4&lt;=核心参数输入!$B$9,(SUM(投资与资金安排!$D$108:F108)+SUM(投资与资金安排!$D$109:F109))*核心参数输入!$B$15-SUM($D99:F99),0)</f>
        <v>21936.78</v>
      </c>
      <c r="G101" s="1">
        <f>IF(G$4&lt;=核心参数输入!$B$9,(SUM(投资与资金安排!$D$108:G108)+SUM(投资与资金安排!$D$109:G109))*核心参数输入!$B$15-SUM($D99:G99),0)</f>
        <v>29795.399999999998</v>
      </c>
      <c r="H101" s="1">
        <f>IF(H$4&lt;=核心参数输入!$B$9,(SUM(投资与资金安排!$D$108:H108)+SUM(投资与资金安排!$D$109:H109))*核心参数输入!$B$15-SUM($D99:H99),0)</f>
        <v>28965.878999999997</v>
      </c>
      <c r="I101" s="1">
        <f>IF(I$4&lt;=核心参数输入!$B$9,(SUM(投资与资金安排!$D$108:I108)+SUM(投资与资金安排!$D$109:I109))*核心参数输入!$B$15-SUM($D99:I99),0)</f>
        <v>28136.357999999997</v>
      </c>
      <c r="J101" s="1">
        <f>IF(J$4&lt;=核心参数输入!$B$9,(SUM(投资与资金安排!$D$108:J108)+SUM(投资与资金安排!$D$109:J109))*核心参数输入!$B$15-SUM($D99:J99),0)</f>
        <v>27306.837</v>
      </c>
      <c r="K101" s="1">
        <f>IF(K$4&lt;=核心参数输入!$B$9,(SUM(投资与资金安排!$D$108:K108)+SUM(投资与资金安排!$D$109:K109))*核心参数输入!$B$15-SUM($D99:K99),0)</f>
        <v>26477.315999999999</v>
      </c>
      <c r="L101" s="1">
        <f>IF(L$4&lt;=核心参数输入!$B$9,(SUM(投资与资金安排!$D$108:L108)+SUM(投资与资金安排!$D$109:L109))*核心参数输入!$B$15-SUM($D99:L99),0)</f>
        <v>25647.794999999998</v>
      </c>
      <c r="M101" s="1">
        <f>IF(M$4&lt;=核心参数输入!$B$9,(SUM(投资与资金安排!$D$108:M108)+SUM(投资与资金安排!$D$109:M109))*核心参数输入!$B$15-SUM($D99:M99),0)</f>
        <v>24818.273999999998</v>
      </c>
      <c r="N101" s="1">
        <f>IF(N$4&lt;=核心参数输入!$B$9,(SUM(投资与资金安排!$D$108:N108)+SUM(投资与资金安排!$D$109:N109))*核心参数输入!$B$15-SUM($D99:N99),0)</f>
        <v>23988.752999999997</v>
      </c>
      <c r="O101" s="1">
        <f>IF(O$4&lt;=核心参数输入!$B$9,(SUM(投资与资金安排!$D$108:O108)+SUM(投资与资金安排!$D$109:O109))*核心参数输入!$B$15-SUM($D99:O99),0)</f>
        <v>23159.232</v>
      </c>
      <c r="P101" s="1">
        <f>IF(P$4&lt;=核心参数输入!$B$9,(SUM(投资与资金安排!$D$108:P108)+SUM(投资与资金安排!$D$109:P109))*核心参数输入!$B$15-SUM($D99:P99),0)</f>
        <v>22329.710999999999</v>
      </c>
      <c r="Q101" s="1">
        <f>IF(Q$4&lt;=核心参数输入!$B$9,(SUM(投资与资金安排!$D$108:Q108)+SUM(投资与资金安排!$D$109:Q109))*核心参数输入!$B$15-SUM($D99:Q99),0)</f>
        <v>21500.19</v>
      </c>
      <c r="R101" s="1">
        <f>IF(R$4&lt;=核心参数输入!$B$9,(SUM(投资与资金安排!$D$108:R108)+SUM(投资与资金安排!$D$109:R109))*核心参数输入!$B$15-SUM($D99:R99),0)</f>
        <v>20670.668999999998</v>
      </c>
      <c r="S101" s="1">
        <f>IF(S$4&lt;=核心参数输入!$B$9,(SUM(投资与资金安排!$D$108:S108)+SUM(投资与资金安排!$D$109:S109))*核心参数输入!$B$15-SUM($D99:S99),0)</f>
        <v>19841.147999999997</v>
      </c>
      <c r="T101" s="1">
        <f>IF(T$4&lt;=核心参数输入!$B$9,(SUM(投资与资金安排!$D$108:T108)+SUM(投资与资金安排!$D$109:T109))*核心参数输入!$B$15-SUM($D99:T99),0)</f>
        <v>19011.626999999997</v>
      </c>
      <c r="U101" s="1">
        <f>IF(U$4&lt;=核心参数输入!$B$9,(SUM(投资与资金安排!$D$108:U108)+SUM(投资与资金安排!$D$109:U109))*核心参数输入!$B$15-SUM($D99:U99),0)</f>
        <v>18182.105999999996</v>
      </c>
      <c r="V101" s="1">
        <f>IF(V$4&lt;=核心参数输入!$B$9,(SUM(投资与资金安排!$D$108:V108)+SUM(投资与资金安排!$D$109:V109))*核心参数输入!$B$15-SUM($D99:V99),0)</f>
        <v>17352.584999999995</v>
      </c>
      <c r="W101" s="1">
        <f>IF(W$4&lt;=核心参数输入!$B$9,(SUM(投资与资金安排!$D$108:W108)+SUM(投资与资金安排!$D$109:W109))*核心参数输入!$B$15-SUM($D99:W99),0)</f>
        <v>16523.063999999995</v>
      </c>
      <c r="X101" s="1">
        <f>IF(X$4&lt;=核心参数输入!$B$9,(SUM(投资与资金安排!$D$108:X108)+SUM(投资与资金安排!$D$109:X109))*核心参数输入!$B$15-SUM($D99:X99),0)</f>
        <v>15693.542999999994</v>
      </c>
      <c r="Y101" s="1">
        <f>IF(Y$4&lt;=核心参数输入!$B$9,(SUM(投资与资金安排!$D$108:Y108)+SUM(投资与资金安排!$D$109:Y109))*核心参数输入!$B$15-SUM($D99:Y99),0)</f>
        <v>0</v>
      </c>
      <c r="Z101" s="1">
        <f>IF(Z$4&lt;=核心参数输入!$B$9,(SUM(投资与资金安排!$D$108:Z108)+SUM(投资与资金安排!$D$109:Z109))*核心参数输入!$B$15-SUM($D99:Z99),0)</f>
        <v>0</v>
      </c>
      <c r="AA101" s="1">
        <f>IF(AA$4&lt;=核心参数输入!$B$9,(SUM(投资与资金安排!$D$108:AA108)+SUM(投资与资金安排!$D$109:AA109))*核心参数输入!$B$15-SUM($D99:AA99),0)</f>
        <v>0</v>
      </c>
      <c r="AB101" s="1">
        <f>IF(AB$4&lt;=核心参数输入!$B$9,(SUM(投资与资金安排!$D$108:AB108)+SUM(投资与资金安排!$D$109:AB109))*核心参数输入!$B$15-SUM($D99:AB99),0)</f>
        <v>0</v>
      </c>
      <c r="AC101" s="1">
        <f>IF(AC$4&lt;=核心参数输入!$B$9,(SUM(投资与资金安排!$D$108:AC108)+SUM(投资与资金安排!$D$109:AC109))*核心参数输入!$B$15-SUM($D99:AC99),0)</f>
        <v>0</v>
      </c>
      <c r="AD101" s="1">
        <f>IF(AD$4&lt;=核心参数输入!$B$9,(SUM(投资与资金安排!$D$108:AD108)+SUM(投资与资金安排!$D$109:AD109))*核心参数输入!$B$15-SUM($D99:AD99),0)</f>
        <v>0</v>
      </c>
      <c r="AE101" s="1">
        <f>IF(AE$4&lt;=核心参数输入!$B$9,(SUM(投资与资金安排!$D$108:AE108)+SUM(投资与资金安排!$D$109:AE109))*核心参数输入!$B$15-SUM($D99:AE99),0)</f>
        <v>0</v>
      </c>
      <c r="AF101" s="1">
        <f>IF(AF$4&lt;=核心参数输入!$B$9,(SUM(投资与资金安排!$D$108:AF108)+SUM(投资与资金安排!$D$109:AF109))*核心参数输入!$B$15-SUM($D99:AF99),0)</f>
        <v>0</v>
      </c>
      <c r="AG101" s="1">
        <f>IF(AG$4&lt;=核心参数输入!$B$9,(SUM(投资与资金安排!$D$108:AG108)+SUM(投资与资金安排!$D$109:AG109))*核心参数输入!$B$15-SUM($D99:AG99),0)</f>
        <v>0</v>
      </c>
      <c r="AH101" s="1">
        <f>IF(AH$4&lt;=核心参数输入!$B$9,(SUM(投资与资金安排!$D$108:AH108)+SUM(投资与资金安排!$D$109:AH109))*核心参数输入!$B$15-SUM($D99:AH99),0)</f>
        <v>0</v>
      </c>
    </row>
    <row r="102" spans="1:34" ht="21" customHeight="1">
      <c r="A102" s="11" t="s">
        <v>250</v>
      </c>
      <c r="B102" s="11" t="s">
        <v>54</v>
      </c>
      <c r="D102" s="1">
        <f>IF(D$4&lt;=核心参数输入!$B$9,(SUM(投资与资金安排!$D$108:D108)+SUM(投资与资金安排!$D$109:D109)+SUM(融资与还本付息!$D$96:D96))*核心参数输入!$B$15-SUM($D100:D100),0)</f>
        <v>3599.9999999999995</v>
      </c>
      <c r="E102" s="1">
        <f>IF(E$4&lt;=核心参数输入!$B$9,(SUM(投资与资金安排!$D$108:E108)+SUM(投资与资金安排!$D$109:E109)+SUM(融资与还本付息!$D$96:E96))*核心参数输入!$B$15-SUM($D100:E100),0)</f>
        <v>11543.669999999998</v>
      </c>
      <c r="F102" s="1">
        <f>IF(F$4&lt;=核心参数输入!$B$9,(SUM(投资与资金安排!$D$108:F108)+SUM(投资与资金安排!$D$109:F109)+SUM(融资与还本付息!$D$96:F96))*核心参数输入!$B$15-SUM($D100:F100),0)</f>
        <v>22305.329999999998</v>
      </c>
      <c r="G102" s="1">
        <f>IF(G$4&lt;=核心参数输入!$B$9,(SUM(投资与资金安排!$D$108:G108)+SUM(投资与资金安排!$D$109:G109)+SUM(融资与还本付息!$D$96:G96))*核心参数输入!$B$15-SUM($D100:G100),0)</f>
        <v>30645.899999999998</v>
      </c>
      <c r="H102" s="1">
        <f>IF(H$4&lt;=核心参数输入!$B$9,(SUM(投资与资金安排!$D$108:H108)+SUM(投资与资金安排!$D$109:H109)+SUM(融资与还本付息!$D$96:H96))*核心参数输入!$B$15-SUM($D100:H100),0)</f>
        <v>29789.446499999998</v>
      </c>
      <c r="I102" s="1">
        <f>IF(I$4&lt;=核心参数输入!$B$9,(SUM(投资与资金安排!$D$108:I108)+SUM(投资与资金安排!$D$109:I109)+SUM(融资与还本付息!$D$96:I96))*核心参数输入!$B$15-SUM($D100:I100),0)</f>
        <v>28932.992999999999</v>
      </c>
      <c r="J102" s="1">
        <f>IF(J$4&lt;=核心参数输入!$B$9,(SUM(投资与资金安排!$D$108:J108)+SUM(投资与资金安排!$D$109:J109)+SUM(融资与还本付息!$D$96:J96))*核心参数输入!$B$15-SUM($D100:J100),0)</f>
        <v>28076.539499999999</v>
      </c>
      <c r="K102" s="1">
        <f>IF(K$4&lt;=核心参数输入!$B$9,(SUM(投资与资金安排!$D$108:K108)+SUM(投资与资金安排!$D$109:K109)+SUM(融资与还本付息!$D$96:K96))*核心参数输入!$B$15-SUM($D100:K100),0)</f>
        <v>27220.085999999999</v>
      </c>
      <c r="L102" s="1">
        <f>IF(L$4&lt;=核心参数输入!$B$9,(SUM(投资与资金安排!$D$108:L108)+SUM(投资与资金安排!$D$109:L109)+SUM(融资与还本付息!$D$96:L96))*核心参数输入!$B$15-SUM($D100:L100),0)</f>
        <v>26363.6325</v>
      </c>
      <c r="M102" s="1">
        <f>IF(M$4&lt;=核心参数输入!$B$9,(SUM(投资与资金安排!$D$108:M108)+SUM(投资与资金安排!$D$109:M109)+SUM(融资与还本付息!$D$96:M96))*核心参数输入!$B$15-SUM($D100:M100),0)</f>
        <v>25507.179</v>
      </c>
      <c r="N102" s="1">
        <f>IF(N$4&lt;=核心参数输入!$B$9,(SUM(投资与资金安排!$D$108:N108)+SUM(投资与资金安排!$D$109:N109)+SUM(融资与还本付息!$D$96:N96))*核心参数输入!$B$15-SUM($D100:N100),0)</f>
        <v>24650.7255</v>
      </c>
      <c r="O102" s="1">
        <f>IF(O$4&lt;=核心参数输入!$B$9,(SUM(投资与资金安排!$D$108:O108)+SUM(投资与资金安排!$D$109:O109)+SUM(融资与还本付息!$D$96:O96))*核心参数输入!$B$15-SUM($D100:O100),0)</f>
        <v>23794.272000000001</v>
      </c>
      <c r="P102" s="1">
        <f>IF(P$4&lt;=核心参数输入!$B$9,(SUM(投资与资金安排!$D$108:P108)+SUM(投资与资金安排!$D$109:P109)+SUM(融资与还本付息!$D$96:P96))*核心参数输入!$B$15-SUM($D100:P100),0)</f>
        <v>22937.818500000001</v>
      </c>
      <c r="Q102" s="1">
        <f>IF(Q$4&lt;=核心参数输入!$B$9,(SUM(投资与资金安排!$D$108:Q108)+SUM(投资与资金安排!$D$109:Q109)+SUM(融资与还本付息!$D$96:Q96))*核心参数输入!$B$15-SUM($D100:Q100),0)</f>
        <v>22081.364999999998</v>
      </c>
      <c r="R102" s="1">
        <f>IF(R$4&lt;=核心参数输入!$B$9,(SUM(投资与资金安排!$D$108:R108)+SUM(投资与资金安排!$D$109:R109)+SUM(融资与还本付息!$D$96:R96))*核心参数输入!$B$15-SUM($D100:R100),0)</f>
        <v>21224.911500000002</v>
      </c>
      <c r="S102" s="1">
        <f>IF(S$4&lt;=核心参数输入!$B$9,(SUM(投资与资金安排!$D$108:S108)+SUM(投资与资金安排!$D$109:S109)+SUM(融资与还本付息!$D$96:S96))*核心参数输入!$B$15-SUM($D100:S100),0)</f>
        <v>20368.457999999999</v>
      </c>
      <c r="T102" s="1">
        <f>IF(T$4&lt;=核心参数输入!$B$9,(SUM(投资与资金安排!$D$108:T108)+SUM(投资与资金安排!$D$109:T109)+SUM(融资与还本付息!$D$96:T96))*核心参数输入!$B$15-SUM($D100:T100),0)</f>
        <v>19512.004500000003</v>
      </c>
      <c r="U102" s="1">
        <f>IF(U$4&lt;=核心参数输入!$B$9,(SUM(投资与资金安排!$D$108:U108)+SUM(投资与资金安排!$D$109:U109)+SUM(融资与还本付息!$D$96:U96))*核心参数输入!$B$15-SUM($D100:U100),0)</f>
        <v>18655.550999999999</v>
      </c>
      <c r="V102" s="1">
        <f>IF(V$4&lt;=核心参数输入!$B$9,(SUM(投资与资金安排!$D$108:V108)+SUM(投资与资金安排!$D$109:V109)+SUM(融资与还本付息!$D$96:V96))*核心参数输入!$B$15-SUM($D100:V100),0)</f>
        <v>17799.097500000003</v>
      </c>
      <c r="W102" s="1">
        <f>IF(W$4&lt;=核心参数输入!$B$9,(SUM(投资与资金安排!$D$108:W108)+SUM(投资与资金安排!$D$109:W109)+SUM(融资与还本付息!$D$96:W96))*核心参数输入!$B$15-SUM($D100:W100),0)</f>
        <v>16942.644</v>
      </c>
      <c r="X102" s="1">
        <f>IF(X$4&lt;=核心参数输入!$B$9,(SUM(投资与资金安排!$D$108:X108)+SUM(投资与资金安排!$D$109:X109)+SUM(融资与还本付息!$D$96:X96))*核心参数输入!$B$15-SUM($D100:X100),0)</f>
        <v>16086.190500000002</v>
      </c>
      <c r="Y102" s="1">
        <f>IF(Y$4&lt;=核心参数输入!$B$9,(SUM(投资与资金安排!$D$108:Y108)+SUM(投资与资金安排!$D$109:Y109)+SUM(融资与还本付息!$D$96:Y96))*核心参数输入!$B$15-SUM($D100:Y100),0)</f>
        <v>0</v>
      </c>
      <c r="Z102" s="1">
        <f>IF(Z$4&lt;=核心参数输入!$B$9,(SUM(投资与资金安排!$D$108:Z108)+SUM(投资与资金安排!$D$109:Z109)+SUM(融资与还本付息!$D$96:Z96))*核心参数输入!$B$15-SUM($D100:Z100),0)</f>
        <v>0</v>
      </c>
      <c r="AA102" s="1">
        <f>IF(AA$4&lt;=核心参数输入!$B$9,(SUM(投资与资金安排!$D$108:AA108)+SUM(投资与资金安排!$D$109:AA109)+SUM(融资与还本付息!$D$96:AA96))*核心参数输入!$B$15-SUM($D100:AA100),0)</f>
        <v>0</v>
      </c>
      <c r="AB102" s="1">
        <f>IF(AB$4&lt;=核心参数输入!$B$9,(SUM(投资与资金安排!$D$108:AB108)+SUM(投资与资金安排!$D$109:AB109)+SUM(融资与还本付息!$D$96:AB96))*核心参数输入!$B$15-SUM($D100:AB100),0)</f>
        <v>0</v>
      </c>
      <c r="AC102" s="1">
        <f>IF(AC$4&lt;=核心参数输入!$B$9,(SUM(投资与资金安排!$D$108:AC108)+SUM(投资与资金安排!$D$109:AC109)+SUM(融资与还本付息!$D$96:AC96))*核心参数输入!$B$15-SUM($D100:AC100),0)</f>
        <v>0</v>
      </c>
      <c r="AD102" s="1">
        <f>IF(AD$4&lt;=核心参数输入!$B$9,(SUM(投资与资金安排!$D$108:AD108)+SUM(投资与资金安排!$D$109:AD109)+SUM(融资与还本付息!$D$96:AD96))*核心参数输入!$B$15-SUM($D100:AD100),0)</f>
        <v>0</v>
      </c>
      <c r="AE102" s="1">
        <f>IF(AE$4&lt;=核心参数输入!$B$9,(SUM(投资与资金安排!$D$108:AE108)+SUM(投资与资金安排!$D$109:AE109)+SUM(融资与还本付息!$D$96:AE96))*核心参数输入!$B$15-SUM($D100:AE100),0)</f>
        <v>0</v>
      </c>
      <c r="AF102" s="1">
        <f>IF(AF$4&lt;=核心参数输入!$B$9,(SUM(投资与资金安排!$D$108:AF108)+SUM(投资与资金安排!$D$109:AF109)+SUM(融资与还本付息!$D$96:AF96))*核心参数输入!$B$15-SUM($D100:AF100),0)</f>
        <v>0</v>
      </c>
      <c r="AG102" s="1">
        <f>IF(AG$4&lt;=核心参数输入!$B$9,(SUM(投资与资金安排!$D$108:AG108)+SUM(投资与资金安排!$D$109:AG109)+SUM(融资与还本付息!$D$96:AG96))*核心参数输入!$B$15-SUM($D100:AG100),0)</f>
        <v>0</v>
      </c>
      <c r="AH102" s="1">
        <f>IF(AH$4&lt;=核心参数输入!$B$9,(SUM(投资与资金安排!$D$108:AH108)+SUM(投资与资金安排!$D$109:AH109)+SUM(融资与还本付息!$D$96:AH96))*核心参数输入!$B$15-SUM($D100:AH100),0)</f>
        <v>0</v>
      </c>
    </row>
    <row r="103" spans="1:34" ht="21" customHeight="1">
      <c r="A103" s="11" t="s">
        <v>251</v>
      </c>
      <c r="B103" s="11" t="s">
        <v>54</v>
      </c>
      <c r="D103" s="1">
        <f>IF(D$4&lt;=核心参数输入!$B$9,(SUM(投资与资金安排!$D$108:D108)+SUM(投资与资金安排!$D$109:D109)+SUM(融资与还本付息!$D$96:D96))*核心参数输入!$B$14-SUM($D98:D98),0)</f>
        <v>4400</v>
      </c>
      <c r="E103" s="1">
        <f>IF(E$4&lt;=核心参数输入!$B$9,(SUM(投资与资金安排!$D$108:E108)+SUM(投资与资金安排!$D$109:E109)+SUM(融资与还本付息!$D$96:E96))*核心参数输入!$B$14-SUM($D98:E98),0)</f>
        <v>14108.93</v>
      </c>
      <c r="F103" s="1">
        <f>IF(F$4&lt;=核心参数输入!$B$9,(SUM(投资与资金安排!$D$108:F108)+SUM(投资与资金安排!$D$109:F109)+SUM(融资与还本付息!$D$96:F96))*核心参数输入!$B$14-SUM($D98:F98),0)</f>
        <v>27262.070000000003</v>
      </c>
      <c r="G103" s="1">
        <f>IF(G$4&lt;=核心参数输入!$B$9,(SUM(投资与资金安排!$D$108:G108)+SUM(投资与资金安排!$D$109:G109)+SUM(融资与还本付息!$D$96:G96))*核心参数输入!$B$14-SUM($D98:G98),0)</f>
        <v>37456.100000000006</v>
      </c>
      <c r="H103" s="1">
        <f>IF(H$4&lt;=核心参数输入!$B$9,(SUM(投资与资金安排!$D$108:H108)+SUM(投资与资金安排!$D$109:H109)+SUM(融资与还本付息!$D$96:H96))*核心参数输入!$B$14-SUM($D98:H98),0)</f>
        <v>26219.270000000004</v>
      </c>
      <c r="I103" s="1">
        <f>IF(I$4&lt;=核心参数输入!$B$9,(SUM(投资与资金安排!$D$108:I108)+SUM(投资与资金安排!$D$109:I109)+SUM(融资与还本付息!$D$96:I96))*核心参数输入!$B$14-SUM($D98:I98),0)</f>
        <v>11236.830000000002</v>
      </c>
      <c r="J103" s="1">
        <f>IF(J$4&lt;=核心参数输入!$B$9,(SUM(投资与资金安排!$D$108:J108)+SUM(投资与资金安排!$D$109:J109)+SUM(融资与还本付息!$D$96:J96))*核心参数输入!$B$14-SUM($D98:J98),0)</f>
        <v>0</v>
      </c>
      <c r="K103" s="1">
        <f>IF(K$4&lt;=核心参数输入!$B$9,(SUM(投资与资金安排!$D$108:K108)+SUM(投资与资金安排!$D$109:K109)+SUM(融资与还本付息!$D$96:K96))*核心参数输入!$B$14-SUM($D98:K98),0)</f>
        <v>0</v>
      </c>
      <c r="L103" s="1">
        <f>IF(L$4&lt;=核心参数输入!$B$9,(SUM(投资与资金安排!$D$108:L108)+SUM(投资与资金安排!$D$109:L109)+SUM(融资与还本付息!$D$96:L96))*核心参数输入!$B$14-SUM($D98:L98),0)</f>
        <v>0</v>
      </c>
      <c r="M103" s="1">
        <f>IF(M$4&lt;=核心参数输入!$B$9,(SUM(投资与资金安排!$D$108:M108)+SUM(投资与资金安排!$D$109:M109)+SUM(融资与还本付息!$D$96:M96))*核心参数输入!$B$14-SUM($D98:M98),0)</f>
        <v>0</v>
      </c>
      <c r="N103" s="1">
        <f>IF(N$4&lt;=核心参数输入!$B$9,(SUM(投资与资金安排!$D$108:N108)+SUM(投资与资金安排!$D$109:N109)+SUM(融资与还本付息!$D$96:N96))*核心参数输入!$B$14-SUM($D98:N98),0)</f>
        <v>0</v>
      </c>
      <c r="O103" s="1">
        <f>IF(O$4&lt;=核心参数输入!$B$9,(SUM(投资与资金安排!$D$108:O108)+SUM(投资与资金安排!$D$109:O109)+SUM(融资与还本付息!$D$96:O96))*核心参数输入!$B$14-SUM($D98:O98),0)</f>
        <v>0</v>
      </c>
      <c r="P103" s="1">
        <f>IF(P$4&lt;=核心参数输入!$B$9,(SUM(投资与资金安排!$D$108:P108)+SUM(投资与资金安排!$D$109:P109)+SUM(融资与还本付息!$D$96:P96))*核心参数输入!$B$14-SUM($D98:P98),0)</f>
        <v>0</v>
      </c>
      <c r="Q103" s="1">
        <f>IF(Q$4&lt;=核心参数输入!$B$9,(SUM(投资与资金安排!$D$108:Q108)+SUM(投资与资金安排!$D$109:Q109)+SUM(融资与还本付息!$D$96:Q96))*核心参数输入!$B$14-SUM($D98:Q98),0)</f>
        <v>0</v>
      </c>
      <c r="R103" s="1">
        <f>IF(R$4&lt;=核心参数输入!$B$9,(SUM(投资与资金安排!$D$108:R108)+SUM(投资与资金安排!$D$109:R109)+SUM(融资与还本付息!$D$96:R96))*核心参数输入!$B$14-SUM($D98:R98),0)</f>
        <v>0</v>
      </c>
      <c r="S103" s="1">
        <f>IF(S$4&lt;=核心参数输入!$B$9,(SUM(投资与资金安排!$D$108:S108)+SUM(投资与资金安排!$D$109:S109)+SUM(融资与还本付息!$D$96:S96))*核心参数输入!$B$14-SUM($D98:S98),0)</f>
        <v>0</v>
      </c>
      <c r="T103" s="1">
        <f>IF(T$4&lt;=核心参数输入!$B$9,(SUM(投资与资金安排!$D$108:T108)+SUM(投资与资金安排!$D$109:T109)+SUM(融资与还本付息!$D$96:T96))*核心参数输入!$B$14-SUM($D98:T98),0)</f>
        <v>0</v>
      </c>
      <c r="U103" s="1">
        <f>IF(U$4&lt;=核心参数输入!$B$9,(SUM(投资与资金安排!$D$108:U108)+SUM(投资与资金安排!$D$109:U109)+SUM(融资与还本付息!$D$96:U96))*核心参数输入!$B$14-SUM($D98:U98),0)</f>
        <v>0</v>
      </c>
      <c r="V103" s="1">
        <f>IF(V$4&lt;=核心参数输入!$B$9,(SUM(投资与资金安排!$D$108:V108)+SUM(投资与资金安排!$D$109:V109)+SUM(融资与还本付息!$D$96:V96))*核心参数输入!$B$14-SUM($D98:V98),0)</f>
        <v>0</v>
      </c>
      <c r="W103" s="1">
        <f>IF(W$4&lt;=核心参数输入!$B$9,(SUM(投资与资金安排!$D$108:W108)+SUM(投资与资金安排!$D$109:W109)+SUM(融资与还本付息!$D$96:W96))*核心参数输入!$B$14-SUM($D98:W98),0)</f>
        <v>0</v>
      </c>
      <c r="X103" s="1">
        <f>IF(X$4&lt;=核心参数输入!$B$9,(SUM(投资与资金安排!$D$108:X108)+SUM(投资与资金安排!$D$109:X109)+SUM(融资与还本付息!$D$96:X96))*核心参数输入!$B$14-SUM($D98:X98),0)</f>
        <v>0</v>
      </c>
      <c r="Y103" s="1">
        <f>IF(Y$4&lt;=核心参数输入!$B$9,(SUM(投资与资金安排!$D$108:Y108)+SUM(投资与资金安排!$D$109:Y109)+SUM(融资与还本付息!$D$96:Y96))*核心参数输入!$B$14-SUM($D98:Y98),0)</f>
        <v>0</v>
      </c>
      <c r="Z103" s="1">
        <f>IF(Z$4&lt;=核心参数输入!$B$9,(SUM(投资与资金安排!$D$108:Z108)+SUM(投资与资金安排!$D$109:Z109)+SUM(融资与还本付息!$D$96:Z96))*核心参数输入!$B$14-SUM($D98:Z98),0)</f>
        <v>0</v>
      </c>
      <c r="AA103" s="1">
        <f>IF(AA$4&lt;=核心参数输入!$B$9,(SUM(投资与资金安排!$D$108:AA108)+SUM(投资与资金安排!$D$109:AA109)+SUM(融资与还本付息!$D$96:AA96))*核心参数输入!$B$14-SUM($D98:AA98),0)</f>
        <v>0</v>
      </c>
      <c r="AB103" s="1">
        <f>IF(AB$4&lt;=核心参数输入!$B$9,(SUM(投资与资金安排!$D$108:AB108)+SUM(投资与资金安排!$D$109:AB109)+SUM(融资与还本付息!$D$96:AB96))*核心参数输入!$B$14-SUM($D98:AB98),0)</f>
        <v>0</v>
      </c>
      <c r="AC103" s="1">
        <f>IF(AC$4&lt;=核心参数输入!$B$9,(SUM(投资与资金安排!$D$108:AC108)+SUM(投资与资金安排!$D$109:AC109)+SUM(融资与还本付息!$D$96:AC96))*核心参数输入!$B$14-SUM($D98:AC98),0)</f>
        <v>0</v>
      </c>
      <c r="AD103" s="1">
        <f>IF(AD$4&lt;=核心参数输入!$B$9,(SUM(投资与资金安排!$D$108:AD108)+SUM(投资与资金安排!$D$109:AD109)+SUM(融资与还本付息!$D$96:AD96))*核心参数输入!$B$14-SUM($D98:AD98),0)</f>
        <v>0</v>
      </c>
      <c r="AE103" s="1">
        <f>IF(AE$4&lt;=核心参数输入!$B$9,(SUM(投资与资金安排!$D$108:AE108)+SUM(投资与资金安排!$D$109:AE109)+SUM(融资与还本付息!$D$96:AE96))*核心参数输入!$B$14-SUM($D98:AE98),0)</f>
        <v>0</v>
      </c>
      <c r="AF103" s="1">
        <f>IF(AF$4&lt;=核心参数输入!$B$9,(SUM(投资与资金安排!$D$108:AF108)+SUM(投资与资金安排!$D$109:AF109)+SUM(融资与还本付息!$D$96:AF96))*核心参数输入!$B$14-SUM($D98:AF98),0)</f>
        <v>0</v>
      </c>
      <c r="AG103" s="1">
        <f>IF(AG$4&lt;=核心参数输入!$B$9,(SUM(投资与资金安排!$D$108:AG108)+SUM(投资与资金安排!$D$109:AG109)+SUM(融资与还本付息!$D$96:AG96))*核心参数输入!$B$14-SUM($D98:AG98),0)</f>
        <v>0</v>
      </c>
      <c r="AH103" s="1">
        <f>IF(AH$4&lt;=核心参数输入!$B$9,(SUM(投资与资金安排!$D$108:AH108)+SUM(投资与资金安排!$D$109:AH109)+SUM(融资与还本付息!$D$96:AH96))*核心参数输入!$B$14-SUM($D98:AH98),0)</f>
        <v>0</v>
      </c>
    </row>
    <row r="104" spans="1:34" ht="21" customHeight="1">
      <c r="A104" s="11" t="s">
        <v>252</v>
      </c>
      <c r="B104" s="11" t="s">
        <v>54</v>
      </c>
      <c r="D104" s="1">
        <f>IF(D$4&lt;=核心参数输入!$B$9,IF(AND(核心参数输入!$B$64=1,D$4=核心参数输入!$B$9),销售与出租收入!D106-D101,0),0)</f>
        <v>0</v>
      </c>
      <c r="E104" s="1">
        <f>IF(E$4&lt;=核心参数输入!$B$9,IF(AND(核心参数输入!$B$64=1,E$4=核心参数输入!$B$9),销售与出租收入!E106-E101,0),0)</f>
        <v>0</v>
      </c>
      <c r="F104" s="1">
        <f>IF(F$4&lt;=核心参数输入!$B$9,IF(AND(核心参数输入!$B$64=1,F$4=核心参数输入!$B$9),销售与出租收入!F106-F101,0),0)</f>
        <v>0</v>
      </c>
      <c r="G104" s="1">
        <f>IF(G$4&lt;=核心参数输入!$B$9,IF(AND(核心参数输入!$B$64=1,G$4=核心参数输入!$B$9),销售与出租收入!G106-G101,0),0)</f>
        <v>0</v>
      </c>
      <c r="H104" s="1">
        <f>IF(H$4&lt;=核心参数输入!$B$9,IF(AND(核心参数输入!$B$64=1,H$4=核心参数输入!$B$9),销售与出租收入!H106-H101,0),0)</f>
        <v>0</v>
      </c>
      <c r="I104" s="1">
        <f>IF(I$4&lt;=核心参数输入!$B$9,IF(AND(核心参数输入!$B$64=1,I$4=核心参数输入!$B$9),销售与出租收入!I106-I101,0),0)</f>
        <v>0</v>
      </c>
      <c r="J104" s="1">
        <f>IF(J$4&lt;=核心参数输入!$B$9,IF(AND(核心参数输入!$B$64=1,J$4=核心参数输入!$B$9),销售与出租收入!J106-J101,0),0)</f>
        <v>0</v>
      </c>
      <c r="K104" s="1">
        <f>IF(K$4&lt;=核心参数输入!$B$9,IF(AND(核心参数输入!$B$64=1,K$4=核心参数输入!$B$9),销售与出租收入!K106-K101,0),0)</f>
        <v>0</v>
      </c>
      <c r="L104" s="1">
        <f>IF(L$4&lt;=核心参数输入!$B$9,IF(AND(核心参数输入!$B$64=1,L$4=核心参数输入!$B$9),销售与出租收入!L106-L101,0),0)</f>
        <v>0</v>
      </c>
      <c r="M104" s="1">
        <f>IF(M$4&lt;=核心参数输入!$B$9,IF(AND(核心参数输入!$B$64=1,M$4=核心参数输入!$B$9),销售与出租收入!M106-M101,0),0)</f>
        <v>0</v>
      </c>
      <c r="N104" s="1">
        <f>IF(N$4&lt;=核心参数输入!$B$9,IF(AND(核心参数输入!$B$64=1,N$4=核心参数输入!$B$9),销售与出租收入!N106-N101,0),0)</f>
        <v>0</v>
      </c>
      <c r="O104" s="1">
        <f>IF(O$4&lt;=核心参数输入!$B$9,IF(AND(核心参数输入!$B$64=1,O$4=核心参数输入!$B$9),销售与出租收入!O106-O101,0),0)</f>
        <v>0</v>
      </c>
      <c r="P104" s="1">
        <f>IF(P$4&lt;=核心参数输入!$B$9,IF(AND(核心参数输入!$B$64=1,P$4=核心参数输入!$B$9),销售与出租收入!P106-P101,0),0)</f>
        <v>0</v>
      </c>
      <c r="Q104" s="1">
        <f>IF(Q$4&lt;=核心参数输入!$B$9,IF(AND(核心参数输入!$B$64=1,Q$4=核心参数输入!$B$9),销售与出租收入!Q106-Q101,0),0)</f>
        <v>0</v>
      </c>
      <c r="R104" s="1">
        <f>IF(R$4&lt;=核心参数输入!$B$9,IF(AND(核心参数输入!$B$64=1,R$4=核心参数输入!$B$9),销售与出租收入!R106-R101,0),0)</f>
        <v>0</v>
      </c>
      <c r="S104" s="1">
        <f>IF(S$4&lt;=核心参数输入!$B$9,IF(AND(核心参数输入!$B$64=1,S$4=核心参数输入!$B$9),销售与出租收入!S106-S101,0),0)</f>
        <v>0</v>
      </c>
      <c r="T104" s="1">
        <f>IF(T$4&lt;=核心参数输入!$B$9,IF(AND(核心参数输入!$B$64=1,T$4=核心参数输入!$B$9),销售与出租收入!T106-T101,0),0)</f>
        <v>0</v>
      </c>
      <c r="U104" s="1">
        <f>IF(U$4&lt;=核心参数输入!$B$9,IF(AND(核心参数输入!$B$64=1,U$4=核心参数输入!$B$9),销售与出租收入!U106-U101,0),0)</f>
        <v>0</v>
      </c>
      <c r="V104" s="1">
        <f>IF(V$4&lt;=核心参数输入!$B$9,IF(AND(核心参数输入!$B$64=1,V$4=核心参数输入!$B$9),销售与出租收入!V106-V101,0),0)</f>
        <v>0</v>
      </c>
      <c r="W104" s="1">
        <f>IF(W$4&lt;=核心参数输入!$B$9,IF(AND(核心参数输入!$B$64=1,W$4=核心参数输入!$B$9),销售与出租收入!W106-W101,0),0)</f>
        <v>0</v>
      </c>
      <c r="X104" s="1">
        <f>IF(X$4&lt;=核心参数输入!$B$9,IF(AND(核心参数输入!$B$64=1,X$4=核心参数输入!$B$9),销售与出租收入!X106-X101,0),0)</f>
        <v>0</v>
      </c>
      <c r="Y104" s="1">
        <f>IF(Y$4&lt;=核心参数输入!$B$9,IF(AND(核心参数输入!$B$64=1,Y$4=核心参数输入!$B$9),销售与出租收入!Y106-Y101,0),0)</f>
        <v>0</v>
      </c>
      <c r="Z104" s="1">
        <f>IF(Z$4&lt;=核心参数输入!$B$9,IF(AND(核心参数输入!$B$64=1,Z$4=核心参数输入!$B$9),销售与出租收入!Z106-Z101,0),0)</f>
        <v>0</v>
      </c>
      <c r="AA104" s="1">
        <f>IF(AA$4&lt;=核心参数输入!$B$9,IF(AND(核心参数输入!$B$64=1,AA$4=核心参数输入!$B$9),销售与出租收入!AA106-AA101,0),0)</f>
        <v>0</v>
      </c>
      <c r="AB104" s="1">
        <f>IF(AB$4&lt;=核心参数输入!$B$9,IF(AND(核心参数输入!$B$64=1,AB$4=核心参数输入!$B$9),销售与出租收入!AB106-AB101,0),0)</f>
        <v>0</v>
      </c>
      <c r="AC104" s="1">
        <f>IF(AC$4&lt;=核心参数输入!$B$9,IF(AND(核心参数输入!$B$64=1,AC$4=核心参数输入!$B$9),销售与出租收入!AC106-AC101,0),0)</f>
        <v>0</v>
      </c>
      <c r="AD104" s="1">
        <f>IF(AD$4&lt;=核心参数输入!$B$9,IF(AND(核心参数输入!$B$64=1,AD$4=核心参数输入!$B$9),销售与出租收入!AD106-AD101,0),0)</f>
        <v>0</v>
      </c>
      <c r="AE104" s="1">
        <f>IF(AE$4&lt;=核心参数输入!$B$9,IF(AND(核心参数输入!$B$64=1,AE$4=核心参数输入!$B$9),销售与出租收入!AE106-AE101,0),0)</f>
        <v>0</v>
      </c>
      <c r="AF104" s="1">
        <f>IF(AF$4&lt;=核心参数输入!$B$9,IF(AND(核心参数输入!$B$64=1,AF$4=核心参数输入!$B$9),销售与出租收入!AF106-AF101,0),0)</f>
        <v>0</v>
      </c>
      <c r="AG104" s="1">
        <f>IF(AG$4&lt;=核心参数输入!$B$9,IF(AND(核心参数输入!$B$64=1,AG$4=核心参数输入!$B$9),销售与出租收入!AG106-AG101,0),0)</f>
        <v>0</v>
      </c>
      <c r="AH104" s="1">
        <f>IF(AH$4&lt;=核心参数输入!$B$9,IF(AND(核心参数输入!$B$64=1,AH$4=核心参数输入!$B$9),销售与出租收入!AH106-AH101,0),0)</f>
        <v>0</v>
      </c>
    </row>
    <row r="105" spans="1:34" ht="21" customHeight="1">
      <c r="A105" s="11" t="s">
        <v>253</v>
      </c>
      <c r="B105" s="11" t="s">
        <v>54</v>
      </c>
      <c r="D105" s="1">
        <f>IF(D$4&lt;=核心参数输入!$B$9,IF(AND(核心参数输入!$B$64=1,D$4=核心参数输入!$B$9),销售与出租收入!D106-D102,0),0)</f>
        <v>0</v>
      </c>
      <c r="E105" s="1">
        <f>IF(E$4&lt;=核心参数输入!$B$9,IF(AND(核心参数输入!$B$64=1,E$4=核心参数输入!$B$9),销售与出租收入!E106-E102,0),0)</f>
        <v>0</v>
      </c>
      <c r="F105" s="1">
        <f>IF(F$4&lt;=核心参数输入!$B$9,IF(AND(核心参数输入!$B$64=1,F$4=核心参数输入!$B$9),销售与出租收入!F106-F102,0),0)</f>
        <v>0</v>
      </c>
      <c r="G105" s="1">
        <f>IF(G$4&lt;=核心参数输入!$B$9,IF(AND(核心参数输入!$B$64=1,G$4=核心参数输入!$B$9),销售与出租收入!G106-G102,0),0)</f>
        <v>0</v>
      </c>
      <c r="H105" s="1">
        <f>IF(H$4&lt;=核心参数输入!$B$9,IF(AND(核心参数输入!$B$64=1,H$4=核心参数输入!$B$9),销售与出租收入!H106-H102,0),0)</f>
        <v>0</v>
      </c>
      <c r="I105" s="1">
        <f>IF(I$4&lt;=核心参数输入!$B$9,IF(AND(核心参数输入!$B$64=1,I$4=核心参数输入!$B$9),销售与出租收入!I106-I102,0),0)</f>
        <v>0</v>
      </c>
      <c r="J105" s="1">
        <f>IF(J$4&lt;=核心参数输入!$B$9,IF(AND(核心参数输入!$B$64=1,J$4=核心参数输入!$B$9),销售与出租收入!J106-J102,0),0)</f>
        <v>0</v>
      </c>
      <c r="K105" s="1">
        <f>IF(K$4&lt;=核心参数输入!$B$9,IF(AND(核心参数输入!$B$64=1,K$4=核心参数输入!$B$9),销售与出租收入!K106-K102,0),0)</f>
        <v>0</v>
      </c>
      <c r="L105" s="1">
        <f>IF(L$4&lt;=核心参数输入!$B$9,IF(AND(核心参数输入!$B$64=1,L$4=核心参数输入!$B$9),销售与出租收入!L106-L102,0),0)</f>
        <v>0</v>
      </c>
      <c r="M105" s="1">
        <f>IF(M$4&lt;=核心参数输入!$B$9,IF(AND(核心参数输入!$B$64=1,M$4=核心参数输入!$B$9),销售与出租收入!M106-M102,0),0)</f>
        <v>0</v>
      </c>
      <c r="N105" s="1">
        <f>IF(N$4&lt;=核心参数输入!$B$9,IF(AND(核心参数输入!$B$64=1,N$4=核心参数输入!$B$9),销售与出租收入!N106-N102,0),0)</f>
        <v>0</v>
      </c>
      <c r="O105" s="1">
        <f>IF(O$4&lt;=核心参数输入!$B$9,IF(AND(核心参数输入!$B$64=1,O$4=核心参数输入!$B$9),销售与出租收入!O106-O102,0),0)</f>
        <v>0</v>
      </c>
      <c r="P105" s="1">
        <f>IF(P$4&lt;=核心参数输入!$B$9,IF(AND(核心参数输入!$B$64=1,P$4=核心参数输入!$B$9),销售与出租收入!P106-P102,0),0)</f>
        <v>0</v>
      </c>
      <c r="Q105" s="1">
        <f>IF(Q$4&lt;=核心参数输入!$B$9,IF(AND(核心参数输入!$B$64=1,Q$4=核心参数输入!$B$9),销售与出租收入!Q106-Q102,0),0)</f>
        <v>0</v>
      </c>
      <c r="R105" s="1">
        <f>IF(R$4&lt;=核心参数输入!$B$9,IF(AND(核心参数输入!$B$64=1,R$4=核心参数输入!$B$9),销售与出租收入!R106-R102,0),0)</f>
        <v>0</v>
      </c>
      <c r="S105" s="1">
        <f>IF(S$4&lt;=核心参数输入!$B$9,IF(AND(核心参数输入!$B$64=1,S$4=核心参数输入!$B$9),销售与出租收入!S106-S102,0),0)</f>
        <v>0</v>
      </c>
      <c r="T105" s="1">
        <f>IF(T$4&lt;=核心参数输入!$B$9,IF(AND(核心参数输入!$B$64=1,T$4=核心参数输入!$B$9),销售与出租收入!T106-T102,0),0)</f>
        <v>0</v>
      </c>
      <c r="U105" s="1">
        <f>IF(U$4&lt;=核心参数输入!$B$9,IF(AND(核心参数输入!$B$64=1,U$4=核心参数输入!$B$9),销售与出租收入!U106-U102,0),0)</f>
        <v>0</v>
      </c>
      <c r="V105" s="1">
        <f>IF(V$4&lt;=核心参数输入!$B$9,IF(AND(核心参数输入!$B$64=1,V$4=核心参数输入!$B$9),销售与出租收入!V106-V102,0),0)</f>
        <v>0</v>
      </c>
      <c r="W105" s="1">
        <f>IF(W$4&lt;=核心参数输入!$B$9,IF(AND(核心参数输入!$B$64=1,W$4=核心参数输入!$B$9),销售与出租收入!W106-W102,0),0)</f>
        <v>0</v>
      </c>
      <c r="X105" s="1">
        <f>IF(X$4&lt;=核心参数输入!$B$9,IF(AND(核心参数输入!$B$64=1,X$4=核心参数输入!$B$9),销售与出租收入!X106-X102,0),0)</f>
        <v>0</v>
      </c>
      <c r="Y105" s="1">
        <f>IF(Y$4&lt;=核心参数输入!$B$9,IF(AND(核心参数输入!$B$64=1,Y$4=核心参数输入!$B$9),销售与出租收入!Y106-Y102,0),0)</f>
        <v>0</v>
      </c>
      <c r="Z105" s="1">
        <f>IF(Z$4&lt;=核心参数输入!$B$9,IF(AND(核心参数输入!$B$64=1,Z$4=核心参数输入!$B$9),销售与出租收入!Z106-Z102,0),0)</f>
        <v>0</v>
      </c>
      <c r="AA105" s="1">
        <f>IF(AA$4&lt;=核心参数输入!$B$9,IF(AND(核心参数输入!$B$64=1,AA$4=核心参数输入!$B$9),销售与出租收入!AA106-AA102,0),0)</f>
        <v>0</v>
      </c>
      <c r="AB105" s="1">
        <f>IF(AB$4&lt;=核心参数输入!$B$9,IF(AND(核心参数输入!$B$64=1,AB$4=核心参数输入!$B$9),销售与出租收入!AB106-AB102,0),0)</f>
        <v>0</v>
      </c>
      <c r="AC105" s="1">
        <f>IF(AC$4&lt;=核心参数输入!$B$9,IF(AND(核心参数输入!$B$64=1,AC$4=核心参数输入!$B$9),销售与出租收入!AC106-AC102,0),0)</f>
        <v>0</v>
      </c>
      <c r="AD105" s="1">
        <f>IF(AD$4&lt;=核心参数输入!$B$9,IF(AND(核心参数输入!$B$64=1,AD$4=核心参数输入!$B$9),销售与出租收入!AD106-AD102,0),0)</f>
        <v>0</v>
      </c>
      <c r="AE105" s="1">
        <f>IF(AE$4&lt;=核心参数输入!$B$9,IF(AND(核心参数输入!$B$64=1,AE$4=核心参数输入!$B$9),销售与出租收入!AE106-AE102,0),0)</f>
        <v>0</v>
      </c>
      <c r="AF105" s="1">
        <f>IF(AF$4&lt;=核心参数输入!$B$9,IF(AND(核心参数输入!$B$64=1,AF$4=核心参数输入!$B$9),销售与出租收入!AF106-AF102,0),0)</f>
        <v>0</v>
      </c>
      <c r="AG105" s="1">
        <f>IF(AG$4&lt;=核心参数输入!$B$9,IF(AND(核心参数输入!$B$64=1,AG$4=核心参数输入!$B$9),销售与出租收入!AG106-AG102,0),0)</f>
        <v>0</v>
      </c>
      <c r="AH105" s="1">
        <f>IF(AH$4&lt;=核心参数输入!$B$9,IF(AND(核心参数输入!$B$64=1,AH$4=核心参数输入!$B$9),销售与出租收入!AH106-AH102,0),0)</f>
        <v>0</v>
      </c>
    </row>
  </sheetData>
  <mergeCells count="2">
    <mergeCell ref="A7:AH7"/>
    <mergeCell ref="A87:AH87"/>
  </mergeCells>
  <phoneticPr fontId="7" type="noConversion"/>
  <pageMargins left="0.25" right="0.25" top="0.4" bottom="0.4" header="0.3" footer="0.3"/>
  <pageSetup paperSize="9" scale="23" fitToHeight="0" orientation="landscape" r:id="rId1"/>
  <headerFooter>
    <oddFooter>&amp;L模拟数据 · 学习用途&amp;C&amp;P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AH99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48.75" style="11" customWidth="1"/>
    <col min="2" max="2" width="17.75" style="1" customWidth="1"/>
    <col min="3" max="3" width="12.75" style="11" customWidth="1"/>
    <col min="4" max="34" width="15.75" style="1" customWidth="1"/>
  </cols>
  <sheetData>
    <row r="2" spans="1:34" ht="29.1" customHeight="1">
      <c r="A2" s="2" t="s">
        <v>6</v>
      </c>
    </row>
    <row r="3" spans="1:34" ht="21" customHeight="1">
      <c r="A3" s="3" t="s">
        <v>208</v>
      </c>
    </row>
    <row r="4" spans="1:34" ht="21" customHeight="1">
      <c r="A4" s="5" t="s">
        <v>162</v>
      </c>
      <c r="D4" s="5">
        <f>核心参数输入!D87</f>
        <v>0</v>
      </c>
      <c r="E4" s="5">
        <f>核心参数输入!E87</f>
        <v>1</v>
      </c>
      <c r="F4" s="5">
        <f>核心参数输入!F87</f>
        <v>2</v>
      </c>
      <c r="G4" s="5">
        <f>核心参数输入!G87</f>
        <v>3</v>
      </c>
      <c r="H4" s="5">
        <f>核心参数输入!H87</f>
        <v>4</v>
      </c>
      <c r="I4" s="5">
        <f>核心参数输入!I87</f>
        <v>5</v>
      </c>
      <c r="J4" s="5">
        <f>核心参数输入!J87</f>
        <v>6</v>
      </c>
      <c r="K4" s="5">
        <f>核心参数输入!K87</f>
        <v>7</v>
      </c>
      <c r="L4" s="5">
        <f>核心参数输入!L87</f>
        <v>8</v>
      </c>
      <c r="M4" s="5">
        <f>核心参数输入!M87</f>
        <v>9</v>
      </c>
      <c r="N4" s="5">
        <f>核心参数输入!N87</f>
        <v>10</v>
      </c>
      <c r="O4" s="5">
        <f>核心参数输入!O87</f>
        <v>11</v>
      </c>
      <c r="P4" s="5">
        <f>核心参数输入!P87</f>
        <v>12</v>
      </c>
      <c r="Q4" s="5">
        <f>核心参数输入!Q87</f>
        <v>13</v>
      </c>
      <c r="R4" s="5">
        <f>核心参数输入!R87</f>
        <v>14</v>
      </c>
      <c r="S4" s="5">
        <f>核心参数输入!S87</f>
        <v>15</v>
      </c>
      <c r="T4" s="5">
        <f>核心参数输入!T87</f>
        <v>16</v>
      </c>
      <c r="U4" s="5">
        <f>核心参数输入!U87</f>
        <v>17</v>
      </c>
      <c r="V4" s="5">
        <f>核心参数输入!V87</f>
        <v>18</v>
      </c>
      <c r="W4" s="5">
        <f>核心参数输入!W87</f>
        <v>19</v>
      </c>
      <c r="X4" s="5">
        <f>核心参数输入!X87</f>
        <v>20</v>
      </c>
      <c r="Y4" s="5">
        <f>核心参数输入!Y87</f>
        <v>21</v>
      </c>
      <c r="Z4" s="5">
        <f>核心参数输入!Z87</f>
        <v>22</v>
      </c>
      <c r="AA4" s="5">
        <f>核心参数输入!AA87</f>
        <v>23</v>
      </c>
      <c r="AB4" s="5">
        <f>核心参数输入!AB87</f>
        <v>24</v>
      </c>
      <c r="AC4" s="5">
        <f>核心参数输入!AC87</f>
        <v>25</v>
      </c>
      <c r="AD4" s="5">
        <f>核心参数输入!AD87</f>
        <v>26</v>
      </c>
      <c r="AE4" s="5">
        <f>核心参数输入!AE87</f>
        <v>27</v>
      </c>
      <c r="AF4" s="5">
        <f>核心参数输入!AF87</f>
        <v>28</v>
      </c>
      <c r="AG4" s="5">
        <f>核心参数输入!AG87</f>
        <v>29</v>
      </c>
      <c r="AH4" s="5">
        <f>核心参数输入!AH87</f>
        <v>30</v>
      </c>
    </row>
    <row r="5" spans="1:34" ht="21" customHeight="1">
      <c r="D5" s="12">
        <f>核心参数输入!$B$8+D4</f>
        <v>2026</v>
      </c>
      <c r="E5" s="12">
        <f>核心参数输入!$B$8+E4</f>
        <v>2027</v>
      </c>
      <c r="F5" s="12">
        <f>核心参数输入!$B$8+F4</f>
        <v>2028</v>
      </c>
      <c r="G5" s="12">
        <f>核心参数输入!$B$8+G4</f>
        <v>2029</v>
      </c>
      <c r="H5" s="12">
        <f>核心参数输入!$B$8+H4</f>
        <v>2030</v>
      </c>
      <c r="I5" s="12">
        <f>核心参数输入!$B$8+I4</f>
        <v>2031</v>
      </c>
      <c r="J5" s="12">
        <f>核心参数输入!$B$8+J4</f>
        <v>2032</v>
      </c>
      <c r="K5" s="12">
        <f>核心参数输入!$B$8+K4</f>
        <v>2033</v>
      </c>
      <c r="L5" s="12">
        <f>核心参数输入!$B$8+L4</f>
        <v>2034</v>
      </c>
      <c r="M5" s="12">
        <f>核心参数输入!$B$8+M4</f>
        <v>2035</v>
      </c>
      <c r="N5" s="12">
        <f>核心参数输入!$B$8+N4</f>
        <v>2036</v>
      </c>
      <c r="O5" s="12">
        <f>核心参数输入!$B$8+O4</f>
        <v>2037</v>
      </c>
      <c r="P5" s="12">
        <f>核心参数输入!$B$8+P4</f>
        <v>2038</v>
      </c>
      <c r="Q5" s="12">
        <f>核心参数输入!$B$8+Q4</f>
        <v>2039</v>
      </c>
      <c r="R5" s="12">
        <f>核心参数输入!$B$8+R4</f>
        <v>2040</v>
      </c>
      <c r="S5" s="12">
        <f>核心参数输入!$B$8+S4</f>
        <v>2041</v>
      </c>
      <c r="T5" s="12">
        <f>核心参数输入!$B$8+T4</f>
        <v>2042</v>
      </c>
      <c r="U5" s="12">
        <f>核心参数输入!$B$8+U4</f>
        <v>2043</v>
      </c>
      <c r="V5" s="12">
        <f>核心参数输入!$B$8+V4</f>
        <v>2044</v>
      </c>
      <c r="W5" s="12">
        <f>核心参数输入!$B$8+W4</f>
        <v>2045</v>
      </c>
      <c r="X5" s="12">
        <f>核心参数输入!$B$8+X4</f>
        <v>2046</v>
      </c>
      <c r="Y5" s="12">
        <f>核心参数输入!$B$8+Y4</f>
        <v>2047</v>
      </c>
      <c r="Z5" s="12">
        <f>核心参数输入!$B$8+Z4</f>
        <v>2048</v>
      </c>
      <c r="AA5" s="12">
        <f>核心参数输入!$B$8+AA4</f>
        <v>2049</v>
      </c>
      <c r="AB5" s="12">
        <f>核心参数输入!$B$8+AB4</f>
        <v>2050</v>
      </c>
      <c r="AC5" s="12">
        <f>核心参数输入!$B$8+AC4</f>
        <v>2051</v>
      </c>
      <c r="AD5" s="12">
        <f>核心参数输入!$B$8+AD4</f>
        <v>2052</v>
      </c>
      <c r="AE5" s="12">
        <f>核心参数输入!$B$8+AE4</f>
        <v>2053</v>
      </c>
      <c r="AF5" s="12">
        <f>核心参数输入!$B$8+AF4</f>
        <v>2054</v>
      </c>
      <c r="AG5" s="12">
        <f>核心参数输入!$B$8+AG4</f>
        <v>2055</v>
      </c>
      <c r="AH5" s="12">
        <f>核心参数输入!$B$8+AH4</f>
        <v>2056</v>
      </c>
    </row>
    <row r="6" spans="1:34" ht="21" customHeight="1">
      <c r="A6" s="11" t="s">
        <v>209</v>
      </c>
      <c r="B6" s="12">
        <f>IF(核心参数输入!$B$57=0,0,IFERROR(MATCH(1,融资与还本付息!$D$12:$AH$12,0)-1,0))</f>
        <v>1</v>
      </c>
    </row>
    <row r="7" spans="1:34" ht="21" customHeight="1">
      <c r="A7" s="11" t="s">
        <v>210</v>
      </c>
      <c r="B7" s="12">
        <f>IF(核心参数输入!$B$57=0,0,B6+核心参数输入!$B$59-1)</f>
        <v>10</v>
      </c>
    </row>
    <row r="8" spans="1:34" ht="21" customHeight="1">
      <c r="A8" s="11" t="s">
        <v>211</v>
      </c>
      <c r="B8" s="12">
        <f>IF(核心参数输入!$B$57=0,0,MAX(1,B7-核心参数输入!$B$60+1))</f>
        <v>7</v>
      </c>
    </row>
    <row r="10" spans="1:34" ht="21" customHeight="1">
      <c r="A10" s="11" t="s">
        <v>212</v>
      </c>
      <c r="B10" s="11" t="s">
        <v>54</v>
      </c>
      <c r="D10" s="1">
        <f>IF(D$4&lt;=核心参数输入!$B$9,0,0)</f>
        <v>0</v>
      </c>
      <c r="E10" s="1">
        <f>IF(E$4&lt;=核心参数输入!$B$9,D15,0)</f>
        <v>0</v>
      </c>
      <c r="F10" s="1">
        <f>IF(F$4&lt;=核心参数输入!$B$9,E15,0)</f>
        <v>9000</v>
      </c>
      <c r="G10" s="1">
        <f>IF(G$4&lt;=核心参数输入!$B$9,F15,0)</f>
        <v>21000</v>
      </c>
      <c r="H10" s="1">
        <f>IF(H$4&lt;=核心参数输入!$B$9,G15,0)</f>
        <v>30000</v>
      </c>
      <c r="I10" s="1">
        <f>IF(I$4&lt;=核心参数输入!$B$9,H15,0)</f>
        <v>25714.285714285714</v>
      </c>
      <c r="J10" s="1">
        <f>IF(J$4&lt;=核心参数输入!$B$9,I15,0)</f>
        <v>21428.571428571428</v>
      </c>
      <c r="K10" s="1">
        <f>IF(K$4&lt;=核心参数输入!$B$9,J15,0)</f>
        <v>17142.857142857141</v>
      </c>
      <c r="L10" s="1">
        <f>IF(L$4&lt;=核心参数输入!$B$9,K15,0)</f>
        <v>12857.142857142855</v>
      </c>
      <c r="M10" s="1">
        <f>IF(M$4&lt;=核心参数输入!$B$9,L15,0)</f>
        <v>8571.4285714285688</v>
      </c>
      <c r="N10" s="1">
        <f>IF(N$4&lt;=核心参数输入!$B$9,M15,0)</f>
        <v>4285.7142857142835</v>
      </c>
      <c r="O10" s="1">
        <f>IF(O$4&lt;=核心参数输入!$B$9,N15,0)</f>
        <v>0</v>
      </c>
      <c r="P10" s="1">
        <f>IF(P$4&lt;=核心参数输入!$B$9,O15,0)</f>
        <v>0</v>
      </c>
      <c r="Q10" s="1">
        <f>IF(Q$4&lt;=核心参数输入!$B$9,P15,0)</f>
        <v>0</v>
      </c>
      <c r="R10" s="1">
        <f>IF(R$4&lt;=核心参数输入!$B$9,Q15,0)</f>
        <v>0</v>
      </c>
      <c r="S10" s="1">
        <f>IF(S$4&lt;=核心参数输入!$B$9,R15,0)</f>
        <v>0</v>
      </c>
      <c r="T10" s="1">
        <f>IF(T$4&lt;=核心参数输入!$B$9,S15,0)</f>
        <v>0</v>
      </c>
      <c r="U10" s="1">
        <f>IF(U$4&lt;=核心参数输入!$B$9,T15,0)</f>
        <v>0</v>
      </c>
      <c r="V10" s="1">
        <f>IF(V$4&lt;=核心参数输入!$B$9,U15,0)</f>
        <v>0</v>
      </c>
      <c r="W10" s="1">
        <f>IF(W$4&lt;=核心参数输入!$B$9,V15,0)</f>
        <v>0</v>
      </c>
      <c r="X10" s="1">
        <f>IF(X$4&lt;=核心参数输入!$B$9,W15,0)</f>
        <v>0</v>
      </c>
      <c r="Y10" s="1">
        <f>IF(Y$4&lt;=核心参数输入!$B$9,X15,0)</f>
        <v>0</v>
      </c>
      <c r="Z10" s="1">
        <f>IF(Z$4&lt;=核心参数输入!$B$9,Y15,0)</f>
        <v>0</v>
      </c>
      <c r="AA10" s="1">
        <f>IF(AA$4&lt;=核心参数输入!$B$9,Z15,0)</f>
        <v>0</v>
      </c>
      <c r="AB10" s="1">
        <f>IF(AB$4&lt;=核心参数输入!$B$9,AA15,0)</f>
        <v>0</v>
      </c>
      <c r="AC10" s="1">
        <f>IF(AC$4&lt;=核心参数输入!$B$9,AB15,0)</f>
        <v>0</v>
      </c>
      <c r="AD10" s="1">
        <f>IF(AD$4&lt;=核心参数输入!$B$9,AC15,0)</f>
        <v>0</v>
      </c>
      <c r="AE10" s="1">
        <f>IF(AE$4&lt;=核心参数输入!$B$9,AD15,0)</f>
        <v>0</v>
      </c>
      <c r="AF10" s="1">
        <f>IF(AF$4&lt;=核心参数输入!$B$9,AE15,0)</f>
        <v>0</v>
      </c>
      <c r="AG10" s="1">
        <f>IF(AG$4&lt;=核心参数输入!$B$9,AF15,0)</f>
        <v>0</v>
      </c>
      <c r="AH10" s="1">
        <f>IF(AH$4&lt;=核心参数输入!$B$9,AG15,0)</f>
        <v>0</v>
      </c>
    </row>
    <row r="11" spans="1:34" ht="21" customHeight="1">
      <c r="A11" s="11" t="s">
        <v>213</v>
      </c>
      <c r="B11" s="11" t="s">
        <v>54</v>
      </c>
      <c r="D11" s="1">
        <f>IF(D$4&lt;=核心参数输入!$B$9,核心参数输入!$B$57*建筑面积与开发计划!D20,0)</f>
        <v>0</v>
      </c>
      <c r="E11" s="1">
        <f>IF(E$4&lt;=核心参数输入!$B$9,核心参数输入!$B$57*建筑面积与开发计划!E20,0)</f>
        <v>9000</v>
      </c>
      <c r="F11" s="1">
        <f>IF(F$4&lt;=核心参数输入!$B$9,核心参数输入!$B$57*建筑面积与开发计划!F20,0)</f>
        <v>12000</v>
      </c>
      <c r="G11" s="1">
        <f>IF(G$4&lt;=核心参数输入!$B$9,核心参数输入!$B$57*建筑面积与开发计划!G20,0)</f>
        <v>9000</v>
      </c>
      <c r="H11" s="1">
        <f>IF(H$4&lt;=核心参数输入!$B$9,核心参数输入!$B$57*建筑面积与开发计划!H20,0)</f>
        <v>0</v>
      </c>
      <c r="I11" s="1">
        <f>IF(I$4&lt;=核心参数输入!$B$9,核心参数输入!$B$57*建筑面积与开发计划!I20,0)</f>
        <v>0</v>
      </c>
      <c r="J11" s="1">
        <f>IF(J$4&lt;=核心参数输入!$B$9,核心参数输入!$B$57*建筑面积与开发计划!J20,0)</f>
        <v>0</v>
      </c>
      <c r="K11" s="1">
        <f>IF(K$4&lt;=核心参数输入!$B$9,核心参数输入!$B$57*建筑面积与开发计划!K20,0)</f>
        <v>0</v>
      </c>
      <c r="L11" s="1">
        <f>IF(L$4&lt;=核心参数输入!$B$9,核心参数输入!$B$57*建筑面积与开发计划!L20,0)</f>
        <v>0</v>
      </c>
      <c r="M11" s="1">
        <f>IF(M$4&lt;=核心参数输入!$B$9,核心参数输入!$B$57*建筑面积与开发计划!M20,0)</f>
        <v>0</v>
      </c>
      <c r="N11" s="1">
        <f>IF(N$4&lt;=核心参数输入!$B$9,核心参数输入!$B$57*建筑面积与开发计划!N20,0)</f>
        <v>0</v>
      </c>
      <c r="O11" s="1">
        <f>IF(O$4&lt;=核心参数输入!$B$9,核心参数输入!$B$57*建筑面积与开发计划!O20,0)</f>
        <v>0</v>
      </c>
      <c r="P11" s="1">
        <f>IF(P$4&lt;=核心参数输入!$B$9,核心参数输入!$B$57*建筑面积与开发计划!P20,0)</f>
        <v>0</v>
      </c>
      <c r="Q11" s="1">
        <f>IF(Q$4&lt;=核心参数输入!$B$9,核心参数输入!$B$57*建筑面积与开发计划!Q20,0)</f>
        <v>0</v>
      </c>
      <c r="R11" s="1">
        <f>IF(R$4&lt;=核心参数输入!$B$9,核心参数输入!$B$57*建筑面积与开发计划!R20,0)</f>
        <v>0</v>
      </c>
      <c r="S11" s="1">
        <f>IF(S$4&lt;=核心参数输入!$B$9,核心参数输入!$B$57*建筑面积与开发计划!S20,0)</f>
        <v>0</v>
      </c>
      <c r="T11" s="1">
        <f>IF(T$4&lt;=核心参数输入!$B$9,核心参数输入!$B$57*建筑面积与开发计划!T20,0)</f>
        <v>0</v>
      </c>
      <c r="U11" s="1">
        <f>IF(U$4&lt;=核心参数输入!$B$9,核心参数输入!$B$57*建筑面积与开发计划!U20,0)</f>
        <v>0</v>
      </c>
      <c r="V11" s="1">
        <f>IF(V$4&lt;=核心参数输入!$B$9,核心参数输入!$B$57*建筑面积与开发计划!V20,0)</f>
        <v>0</v>
      </c>
      <c r="W11" s="1">
        <f>IF(W$4&lt;=核心参数输入!$B$9,核心参数输入!$B$57*建筑面积与开发计划!W20,0)</f>
        <v>0</v>
      </c>
      <c r="X11" s="1">
        <f>IF(X$4&lt;=核心参数输入!$B$9,核心参数输入!$B$57*建筑面积与开发计划!X20,0)</f>
        <v>0</v>
      </c>
      <c r="Y11" s="1">
        <f>IF(Y$4&lt;=核心参数输入!$B$9,核心参数输入!$B$57*建筑面积与开发计划!Y20,0)</f>
        <v>0</v>
      </c>
      <c r="Z11" s="1">
        <f>IF(Z$4&lt;=核心参数输入!$B$9,核心参数输入!$B$57*建筑面积与开发计划!Z20,0)</f>
        <v>0</v>
      </c>
      <c r="AA11" s="1">
        <f>IF(AA$4&lt;=核心参数输入!$B$9,核心参数输入!$B$57*建筑面积与开发计划!AA20,0)</f>
        <v>0</v>
      </c>
      <c r="AB11" s="1">
        <f>IF(AB$4&lt;=核心参数输入!$B$9,核心参数输入!$B$57*建筑面积与开发计划!AB20,0)</f>
        <v>0</v>
      </c>
      <c r="AC11" s="1">
        <f>IF(AC$4&lt;=核心参数输入!$B$9,核心参数输入!$B$57*建筑面积与开发计划!AC20,0)</f>
        <v>0</v>
      </c>
      <c r="AD11" s="1">
        <f>IF(AD$4&lt;=核心参数输入!$B$9,核心参数输入!$B$57*建筑面积与开发计划!AD20,0)</f>
        <v>0</v>
      </c>
      <c r="AE11" s="1">
        <f>IF(AE$4&lt;=核心参数输入!$B$9,核心参数输入!$B$57*建筑面积与开发计划!AE20,0)</f>
        <v>0</v>
      </c>
      <c r="AF11" s="1">
        <f>IF(AF$4&lt;=核心参数输入!$B$9,核心参数输入!$B$57*建筑面积与开发计划!AF20,0)</f>
        <v>0</v>
      </c>
      <c r="AG11" s="1">
        <f>IF(AG$4&lt;=核心参数输入!$B$9,核心参数输入!$B$57*建筑面积与开发计划!AG20,0)</f>
        <v>0</v>
      </c>
      <c r="AH11" s="1">
        <f>IF(AH$4&lt;=核心参数输入!$B$9,核心参数输入!$B$57*建筑面积与开发计划!AH20,0)</f>
        <v>0</v>
      </c>
    </row>
    <row r="12" spans="1:34" ht="21" customHeight="1">
      <c r="A12" s="11" t="s">
        <v>214</v>
      </c>
      <c r="B12" s="11" t="s">
        <v>178</v>
      </c>
      <c r="D12" s="1">
        <f>IF(D$4&lt;=核心参数输入!$B$9,IF(D11&gt;0.000001,1,0),0)</f>
        <v>0</v>
      </c>
      <c r="E12" s="1">
        <f>IF(E$4&lt;=核心参数输入!$B$9,IF(E11&gt;0.000001,1,0),0)</f>
        <v>1</v>
      </c>
      <c r="F12" s="1">
        <f>IF(F$4&lt;=核心参数输入!$B$9,IF(F11&gt;0.000001,1,0),0)</f>
        <v>1</v>
      </c>
      <c r="G12" s="1">
        <f>IF(G$4&lt;=核心参数输入!$B$9,IF(G11&gt;0.000001,1,0),0)</f>
        <v>1</v>
      </c>
      <c r="H12" s="1">
        <f>IF(H$4&lt;=核心参数输入!$B$9,IF(H11&gt;0.000001,1,0),0)</f>
        <v>0</v>
      </c>
      <c r="I12" s="1">
        <f>IF(I$4&lt;=核心参数输入!$B$9,IF(I11&gt;0.000001,1,0),0)</f>
        <v>0</v>
      </c>
      <c r="J12" s="1">
        <f>IF(J$4&lt;=核心参数输入!$B$9,IF(J11&gt;0.000001,1,0),0)</f>
        <v>0</v>
      </c>
      <c r="K12" s="1">
        <f>IF(K$4&lt;=核心参数输入!$B$9,IF(K11&gt;0.000001,1,0),0)</f>
        <v>0</v>
      </c>
      <c r="L12" s="1">
        <f>IF(L$4&lt;=核心参数输入!$B$9,IF(L11&gt;0.000001,1,0),0)</f>
        <v>0</v>
      </c>
      <c r="M12" s="1">
        <f>IF(M$4&lt;=核心参数输入!$B$9,IF(M11&gt;0.000001,1,0),0)</f>
        <v>0</v>
      </c>
      <c r="N12" s="1">
        <f>IF(N$4&lt;=核心参数输入!$B$9,IF(N11&gt;0.000001,1,0),0)</f>
        <v>0</v>
      </c>
      <c r="O12" s="1">
        <f>IF(O$4&lt;=核心参数输入!$B$9,IF(O11&gt;0.000001,1,0),0)</f>
        <v>0</v>
      </c>
      <c r="P12" s="1">
        <f>IF(P$4&lt;=核心参数输入!$B$9,IF(P11&gt;0.000001,1,0),0)</f>
        <v>0</v>
      </c>
      <c r="Q12" s="1">
        <f>IF(Q$4&lt;=核心参数输入!$B$9,IF(Q11&gt;0.000001,1,0),0)</f>
        <v>0</v>
      </c>
      <c r="R12" s="1">
        <f>IF(R$4&lt;=核心参数输入!$B$9,IF(R11&gt;0.000001,1,0),0)</f>
        <v>0</v>
      </c>
      <c r="S12" s="1">
        <f>IF(S$4&lt;=核心参数输入!$B$9,IF(S11&gt;0.000001,1,0),0)</f>
        <v>0</v>
      </c>
      <c r="T12" s="1">
        <f>IF(T$4&lt;=核心参数输入!$B$9,IF(T11&gt;0.000001,1,0),0)</f>
        <v>0</v>
      </c>
      <c r="U12" s="1">
        <f>IF(U$4&lt;=核心参数输入!$B$9,IF(U11&gt;0.000001,1,0),0)</f>
        <v>0</v>
      </c>
      <c r="V12" s="1">
        <f>IF(V$4&lt;=核心参数输入!$B$9,IF(V11&gt;0.000001,1,0),0)</f>
        <v>0</v>
      </c>
      <c r="W12" s="1">
        <f>IF(W$4&lt;=核心参数输入!$B$9,IF(W11&gt;0.000001,1,0),0)</f>
        <v>0</v>
      </c>
      <c r="X12" s="1">
        <f>IF(X$4&lt;=核心参数输入!$B$9,IF(X11&gt;0.000001,1,0),0)</f>
        <v>0</v>
      </c>
      <c r="Y12" s="1">
        <f>IF(Y$4&lt;=核心参数输入!$B$9,IF(Y11&gt;0.000001,1,0),0)</f>
        <v>0</v>
      </c>
      <c r="Z12" s="1">
        <f>IF(Z$4&lt;=核心参数输入!$B$9,IF(Z11&gt;0.000001,1,0),0)</f>
        <v>0</v>
      </c>
      <c r="AA12" s="1">
        <f>IF(AA$4&lt;=核心参数输入!$B$9,IF(AA11&gt;0.000001,1,0),0)</f>
        <v>0</v>
      </c>
      <c r="AB12" s="1">
        <f>IF(AB$4&lt;=核心参数输入!$B$9,IF(AB11&gt;0.000001,1,0),0)</f>
        <v>0</v>
      </c>
      <c r="AC12" s="1">
        <f>IF(AC$4&lt;=核心参数输入!$B$9,IF(AC11&gt;0.000001,1,0),0)</f>
        <v>0</v>
      </c>
      <c r="AD12" s="1">
        <f>IF(AD$4&lt;=核心参数输入!$B$9,IF(AD11&gt;0.000001,1,0),0)</f>
        <v>0</v>
      </c>
      <c r="AE12" s="1">
        <f>IF(AE$4&lt;=核心参数输入!$B$9,IF(AE11&gt;0.000001,1,0),0)</f>
        <v>0</v>
      </c>
      <c r="AF12" s="1">
        <f>IF(AF$4&lt;=核心参数输入!$B$9,IF(AF11&gt;0.000001,1,0),0)</f>
        <v>0</v>
      </c>
      <c r="AG12" s="1">
        <f>IF(AG$4&lt;=核心参数输入!$B$9,IF(AG11&gt;0.000001,1,0),0)</f>
        <v>0</v>
      </c>
      <c r="AH12" s="1">
        <f>IF(AH$4&lt;=核心参数输入!$B$9,IF(AH11&gt;0.000001,1,0),0)</f>
        <v>0</v>
      </c>
    </row>
    <row r="13" spans="1:34" ht="21" customHeight="1">
      <c r="A13" s="11" t="s">
        <v>215</v>
      </c>
      <c r="B13" s="11" t="s">
        <v>54</v>
      </c>
      <c r="D13" s="1">
        <f>IF(D$4&lt;=核心参数输入!$B$9,IF(AND(核心参数输入!$B$57&gt;0,D$4&gt;=核心参数输入!$B$60,D$4&lt;=$B$7),MIN(D10+D11,核心参数输入!$B$57/MAX(1,$B$8)),0),0)</f>
        <v>0</v>
      </c>
      <c r="E13" s="1">
        <f>IF(E$4&lt;=核心参数输入!$B$9,IF(AND(核心参数输入!$B$57&gt;0,E$4&gt;=核心参数输入!$B$60,E$4&lt;=$B$7),MIN(E10+E11,核心参数输入!$B$57/MAX(1,$B$8)),0),0)</f>
        <v>0</v>
      </c>
      <c r="F13" s="1">
        <f>IF(F$4&lt;=核心参数输入!$B$9,IF(AND(核心参数输入!$B$57&gt;0,F$4&gt;=核心参数输入!$B$60,F$4&lt;=$B$7),MIN(F10+F11,核心参数输入!$B$57/MAX(1,$B$8)),0),0)</f>
        <v>0</v>
      </c>
      <c r="G13" s="1">
        <f>IF(G$4&lt;=核心参数输入!$B$9,IF(AND(核心参数输入!$B$57&gt;0,G$4&gt;=核心参数输入!$B$60,G$4&lt;=$B$7),MIN(G10+G11,核心参数输入!$B$57/MAX(1,$B$8)),0),0)</f>
        <v>0</v>
      </c>
      <c r="H13" s="1">
        <f>IF(H$4&lt;=核心参数输入!$B$9,IF(AND(核心参数输入!$B$57&gt;0,H$4&gt;=核心参数输入!$B$60,H$4&lt;=$B$7),MIN(H10+H11,核心参数输入!$B$57/MAX(1,$B$8)),0),0)</f>
        <v>4285.7142857142853</v>
      </c>
      <c r="I13" s="1">
        <f>IF(I$4&lt;=核心参数输入!$B$9,IF(AND(核心参数输入!$B$57&gt;0,I$4&gt;=核心参数输入!$B$60,I$4&lt;=$B$7),MIN(I10+I11,核心参数输入!$B$57/MAX(1,$B$8)),0),0)</f>
        <v>4285.7142857142853</v>
      </c>
      <c r="J13" s="1">
        <f>IF(J$4&lt;=核心参数输入!$B$9,IF(AND(核心参数输入!$B$57&gt;0,J$4&gt;=核心参数输入!$B$60,J$4&lt;=$B$7),MIN(J10+J11,核心参数输入!$B$57/MAX(1,$B$8)),0),0)</f>
        <v>4285.7142857142853</v>
      </c>
      <c r="K13" s="1">
        <f>IF(K$4&lt;=核心参数输入!$B$9,IF(AND(核心参数输入!$B$57&gt;0,K$4&gt;=核心参数输入!$B$60,K$4&lt;=$B$7),MIN(K10+K11,核心参数输入!$B$57/MAX(1,$B$8)),0),0)</f>
        <v>4285.7142857142853</v>
      </c>
      <c r="L13" s="1">
        <f>IF(L$4&lt;=核心参数输入!$B$9,IF(AND(核心参数输入!$B$57&gt;0,L$4&gt;=核心参数输入!$B$60,L$4&lt;=$B$7),MIN(L10+L11,核心参数输入!$B$57/MAX(1,$B$8)),0),0)</f>
        <v>4285.7142857142853</v>
      </c>
      <c r="M13" s="1">
        <f>IF(M$4&lt;=核心参数输入!$B$9,IF(AND(核心参数输入!$B$57&gt;0,M$4&gt;=核心参数输入!$B$60,M$4&lt;=$B$7),MIN(M10+M11,核心参数输入!$B$57/MAX(1,$B$8)),0),0)</f>
        <v>4285.7142857142853</v>
      </c>
      <c r="N13" s="1">
        <f>IF(N$4&lt;=核心参数输入!$B$9,IF(AND(核心参数输入!$B$57&gt;0,N$4&gt;=核心参数输入!$B$60,N$4&lt;=$B$7),MIN(N10+N11,核心参数输入!$B$57/MAX(1,$B$8)),0),0)</f>
        <v>4285.7142857142835</v>
      </c>
      <c r="O13" s="1">
        <f>IF(O$4&lt;=核心参数输入!$B$9,IF(AND(核心参数输入!$B$57&gt;0,O$4&gt;=核心参数输入!$B$60,O$4&lt;=$B$7),MIN(O10+O11,核心参数输入!$B$57/MAX(1,$B$8)),0),0)</f>
        <v>0</v>
      </c>
      <c r="P13" s="1">
        <f>IF(P$4&lt;=核心参数输入!$B$9,IF(AND(核心参数输入!$B$57&gt;0,P$4&gt;=核心参数输入!$B$60,P$4&lt;=$B$7),MIN(P10+P11,核心参数输入!$B$57/MAX(1,$B$8)),0),0)</f>
        <v>0</v>
      </c>
      <c r="Q13" s="1">
        <f>IF(Q$4&lt;=核心参数输入!$B$9,IF(AND(核心参数输入!$B$57&gt;0,Q$4&gt;=核心参数输入!$B$60,Q$4&lt;=$B$7),MIN(Q10+Q11,核心参数输入!$B$57/MAX(1,$B$8)),0),0)</f>
        <v>0</v>
      </c>
      <c r="R13" s="1">
        <f>IF(R$4&lt;=核心参数输入!$B$9,IF(AND(核心参数输入!$B$57&gt;0,R$4&gt;=核心参数输入!$B$60,R$4&lt;=$B$7),MIN(R10+R11,核心参数输入!$B$57/MAX(1,$B$8)),0),0)</f>
        <v>0</v>
      </c>
      <c r="S13" s="1">
        <f>IF(S$4&lt;=核心参数输入!$B$9,IF(AND(核心参数输入!$B$57&gt;0,S$4&gt;=核心参数输入!$B$60,S$4&lt;=$B$7),MIN(S10+S11,核心参数输入!$B$57/MAX(1,$B$8)),0),0)</f>
        <v>0</v>
      </c>
      <c r="T13" s="1">
        <f>IF(T$4&lt;=核心参数输入!$B$9,IF(AND(核心参数输入!$B$57&gt;0,T$4&gt;=核心参数输入!$B$60,T$4&lt;=$B$7),MIN(T10+T11,核心参数输入!$B$57/MAX(1,$B$8)),0),0)</f>
        <v>0</v>
      </c>
      <c r="U13" s="1">
        <f>IF(U$4&lt;=核心参数输入!$B$9,IF(AND(核心参数输入!$B$57&gt;0,U$4&gt;=核心参数输入!$B$60,U$4&lt;=$B$7),MIN(U10+U11,核心参数输入!$B$57/MAX(1,$B$8)),0),0)</f>
        <v>0</v>
      </c>
      <c r="V13" s="1">
        <f>IF(V$4&lt;=核心参数输入!$B$9,IF(AND(核心参数输入!$B$57&gt;0,V$4&gt;=核心参数输入!$B$60,V$4&lt;=$B$7),MIN(V10+V11,核心参数输入!$B$57/MAX(1,$B$8)),0),0)</f>
        <v>0</v>
      </c>
      <c r="W13" s="1">
        <f>IF(W$4&lt;=核心参数输入!$B$9,IF(AND(核心参数输入!$B$57&gt;0,W$4&gt;=核心参数输入!$B$60,W$4&lt;=$B$7),MIN(W10+W11,核心参数输入!$B$57/MAX(1,$B$8)),0),0)</f>
        <v>0</v>
      </c>
      <c r="X13" s="1">
        <f>IF(X$4&lt;=核心参数输入!$B$9,IF(AND(核心参数输入!$B$57&gt;0,X$4&gt;=核心参数输入!$B$60,X$4&lt;=$B$7),MIN(X10+X11,核心参数输入!$B$57/MAX(1,$B$8)),0),0)</f>
        <v>0</v>
      </c>
      <c r="Y13" s="1">
        <f>IF(Y$4&lt;=核心参数输入!$B$9,IF(AND(核心参数输入!$B$57&gt;0,Y$4&gt;=核心参数输入!$B$60,Y$4&lt;=$B$7),MIN(Y10+Y11,核心参数输入!$B$57/MAX(1,$B$8)),0),0)</f>
        <v>0</v>
      </c>
      <c r="Z13" s="1">
        <f>IF(Z$4&lt;=核心参数输入!$B$9,IF(AND(核心参数输入!$B$57&gt;0,Z$4&gt;=核心参数输入!$B$60,Z$4&lt;=$B$7),MIN(Z10+Z11,核心参数输入!$B$57/MAX(1,$B$8)),0),0)</f>
        <v>0</v>
      </c>
      <c r="AA13" s="1">
        <f>IF(AA$4&lt;=核心参数输入!$B$9,IF(AND(核心参数输入!$B$57&gt;0,AA$4&gt;=核心参数输入!$B$60,AA$4&lt;=$B$7),MIN(AA10+AA11,核心参数输入!$B$57/MAX(1,$B$8)),0),0)</f>
        <v>0</v>
      </c>
      <c r="AB13" s="1">
        <f>IF(AB$4&lt;=核心参数输入!$B$9,IF(AND(核心参数输入!$B$57&gt;0,AB$4&gt;=核心参数输入!$B$60,AB$4&lt;=$B$7),MIN(AB10+AB11,核心参数输入!$B$57/MAX(1,$B$8)),0),0)</f>
        <v>0</v>
      </c>
      <c r="AC13" s="1">
        <f>IF(AC$4&lt;=核心参数输入!$B$9,IF(AND(核心参数输入!$B$57&gt;0,AC$4&gt;=核心参数输入!$B$60,AC$4&lt;=$B$7),MIN(AC10+AC11,核心参数输入!$B$57/MAX(1,$B$8)),0),0)</f>
        <v>0</v>
      </c>
      <c r="AD13" s="1">
        <f>IF(AD$4&lt;=核心参数输入!$B$9,IF(AND(核心参数输入!$B$57&gt;0,AD$4&gt;=核心参数输入!$B$60,AD$4&lt;=$B$7),MIN(AD10+AD11,核心参数输入!$B$57/MAX(1,$B$8)),0),0)</f>
        <v>0</v>
      </c>
      <c r="AE13" s="1">
        <f>IF(AE$4&lt;=核心参数输入!$B$9,IF(AND(核心参数输入!$B$57&gt;0,AE$4&gt;=核心参数输入!$B$60,AE$4&lt;=$B$7),MIN(AE10+AE11,核心参数输入!$B$57/MAX(1,$B$8)),0),0)</f>
        <v>0</v>
      </c>
      <c r="AF13" s="1">
        <f>IF(AF$4&lt;=核心参数输入!$B$9,IF(AND(核心参数输入!$B$57&gt;0,AF$4&gt;=核心参数输入!$B$60,AF$4&lt;=$B$7),MIN(AF10+AF11,核心参数输入!$B$57/MAX(1,$B$8)),0),0)</f>
        <v>0</v>
      </c>
      <c r="AG13" s="1">
        <f>IF(AG$4&lt;=核心参数输入!$B$9,IF(AND(核心参数输入!$B$57&gt;0,AG$4&gt;=核心参数输入!$B$60,AG$4&lt;=$B$7),MIN(AG10+AG11,核心参数输入!$B$57/MAX(1,$B$8)),0),0)</f>
        <v>0</v>
      </c>
      <c r="AH13" s="1">
        <f>IF(AH$4&lt;=核心参数输入!$B$9,IF(AND(核心参数输入!$B$57&gt;0,AH$4&gt;=核心参数输入!$B$60,AH$4&lt;=$B$7),MIN(AH10+AH11,核心参数输入!$B$57/MAX(1,$B$8)),0),0)</f>
        <v>0</v>
      </c>
    </row>
    <row r="14" spans="1:34" ht="21" customHeight="1">
      <c r="A14" s="11" t="s">
        <v>216</v>
      </c>
      <c r="B14" s="11" t="s">
        <v>54</v>
      </c>
      <c r="D14" s="1">
        <f>IF(D$4&lt;=核心参数输入!$B$9,MAX(0,D10+D11/2-D13/2)*核心参数输入!$B$58,0)</f>
        <v>0</v>
      </c>
      <c r="E14" s="1">
        <f>IF(E$4&lt;=核心参数输入!$B$9,MAX(0,E10+E11/2-E13/2)*核心参数输入!$B$58,0)</f>
        <v>189</v>
      </c>
      <c r="F14" s="1">
        <f>IF(F$4&lt;=核心参数输入!$B$9,MAX(0,F10+F11/2-F13/2)*核心参数输入!$B$58,0)</f>
        <v>630</v>
      </c>
      <c r="G14" s="1">
        <f>IF(G$4&lt;=核心参数输入!$B$9,MAX(0,G10+G11/2-G13/2)*核心参数输入!$B$58,0)</f>
        <v>1071</v>
      </c>
      <c r="H14" s="1">
        <f>IF(H$4&lt;=核心参数输入!$B$9,MAX(0,H10+H11/2-H13/2)*核心参数输入!$B$58,0)</f>
        <v>1170.0000000000002</v>
      </c>
      <c r="I14" s="1">
        <f>IF(I$4&lt;=核心参数输入!$B$9,MAX(0,I10+I11/2-I13/2)*核心参数输入!$B$58,0)</f>
        <v>990.00000000000011</v>
      </c>
      <c r="J14" s="1">
        <f>IF(J$4&lt;=核心参数输入!$B$9,MAX(0,J10+J11/2-J13/2)*核心参数输入!$B$58,0)</f>
        <v>810.00000000000011</v>
      </c>
      <c r="K14" s="1">
        <f>IF(K$4&lt;=核心参数输入!$B$9,MAX(0,K10+K11/2-K13/2)*核心参数输入!$B$58,0)</f>
        <v>630</v>
      </c>
      <c r="L14" s="1">
        <f>IF(L$4&lt;=核心参数输入!$B$9,MAX(0,L10+L11/2-L13/2)*核心参数输入!$B$58,0)</f>
        <v>449.99999999999994</v>
      </c>
      <c r="M14" s="1">
        <f>IF(M$4&lt;=核心参数输入!$B$9,MAX(0,M10+M11/2-M13/2)*核心参数输入!$B$58,0)</f>
        <v>269.99999999999989</v>
      </c>
      <c r="N14" s="1">
        <f>IF(N$4&lt;=核心参数输入!$B$9,MAX(0,N10+N11/2-N13/2)*核心参数输入!$B$58,0)</f>
        <v>89.999999999999957</v>
      </c>
      <c r="O14" s="1">
        <f>IF(O$4&lt;=核心参数输入!$B$9,MAX(0,O10+O11/2-O13/2)*核心参数输入!$B$58,0)</f>
        <v>0</v>
      </c>
      <c r="P14" s="1">
        <f>IF(P$4&lt;=核心参数输入!$B$9,MAX(0,P10+P11/2-P13/2)*核心参数输入!$B$58,0)</f>
        <v>0</v>
      </c>
      <c r="Q14" s="1">
        <f>IF(Q$4&lt;=核心参数输入!$B$9,MAX(0,Q10+Q11/2-Q13/2)*核心参数输入!$B$58,0)</f>
        <v>0</v>
      </c>
      <c r="R14" s="1">
        <f>IF(R$4&lt;=核心参数输入!$B$9,MAX(0,R10+R11/2-R13/2)*核心参数输入!$B$58,0)</f>
        <v>0</v>
      </c>
      <c r="S14" s="1">
        <f>IF(S$4&lt;=核心参数输入!$B$9,MAX(0,S10+S11/2-S13/2)*核心参数输入!$B$58,0)</f>
        <v>0</v>
      </c>
      <c r="T14" s="1">
        <f>IF(T$4&lt;=核心参数输入!$B$9,MAX(0,T10+T11/2-T13/2)*核心参数输入!$B$58,0)</f>
        <v>0</v>
      </c>
      <c r="U14" s="1">
        <f>IF(U$4&lt;=核心参数输入!$B$9,MAX(0,U10+U11/2-U13/2)*核心参数输入!$B$58,0)</f>
        <v>0</v>
      </c>
      <c r="V14" s="1">
        <f>IF(V$4&lt;=核心参数输入!$B$9,MAX(0,V10+V11/2-V13/2)*核心参数输入!$B$58,0)</f>
        <v>0</v>
      </c>
      <c r="W14" s="1">
        <f>IF(W$4&lt;=核心参数输入!$B$9,MAX(0,W10+W11/2-W13/2)*核心参数输入!$B$58,0)</f>
        <v>0</v>
      </c>
      <c r="X14" s="1">
        <f>IF(X$4&lt;=核心参数输入!$B$9,MAX(0,X10+X11/2-X13/2)*核心参数输入!$B$58,0)</f>
        <v>0</v>
      </c>
      <c r="Y14" s="1">
        <f>IF(Y$4&lt;=核心参数输入!$B$9,MAX(0,Y10+Y11/2-Y13/2)*核心参数输入!$B$58,0)</f>
        <v>0</v>
      </c>
      <c r="Z14" s="1">
        <f>IF(Z$4&lt;=核心参数输入!$B$9,MAX(0,Z10+Z11/2-Z13/2)*核心参数输入!$B$58,0)</f>
        <v>0</v>
      </c>
      <c r="AA14" s="1">
        <f>IF(AA$4&lt;=核心参数输入!$B$9,MAX(0,AA10+AA11/2-AA13/2)*核心参数输入!$B$58,0)</f>
        <v>0</v>
      </c>
      <c r="AB14" s="1">
        <f>IF(AB$4&lt;=核心参数输入!$B$9,MAX(0,AB10+AB11/2-AB13/2)*核心参数输入!$B$58,0)</f>
        <v>0</v>
      </c>
      <c r="AC14" s="1">
        <f>IF(AC$4&lt;=核心参数输入!$B$9,MAX(0,AC10+AC11/2-AC13/2)*核心参数输入!$B$58,0)</f>
        <v>0</v>
      </c>
      <c r="AD14" s="1">
        <f>IF(AD$4&lt;=核心参数输入!$B$9,MAX(0,AD10+AD11/2-AD13/2)*核心参数输入!$B$58,0)</f>
        <v>0</v>
      </c>
      <c r="AE14" s="1">
        <f>IF(AE$4&lt;=核心参数输入!$B$9,MAX(0,AE10+AE11/2-AE13/2)*核心参数输入!$B$58,0)</f>
        <v>0</v>
      </c>
      <c r="AF14" s="1">
        <f>IF(AF$4&lt;=核心参数输入!$B$9,MAX(0,AF10+AF11/2-AF13/2)*核心参数输入!$B$58,0)</f>
        <v>0</v>
      </c>
      <c r="AG14" s="1">
        <f>IF(AG$4&lt;=核心参数输入!$B$9,MAX(0,AG10+AG11/2-AG13/2)*核心参数输入!$B$58,0)</f>
        <v>0</v>
      </c>
      <c r="AH14" s="1">
        <f>IF(AH$4&lt;=核心参数输入!$B$9,MAX(0,AH10+AH11/2-AH13/2)*核心参数输入!$B$58,0)</f>
        <v>0</v>
      </c>
    </row>
    <row r="15" spans="1:34" ht="21" customHeight="1">
      <c r="A15" s="11" t="s">
        <v>217</v>
      </c>
      <c r="B15" s="11" t="s">
        <v>54</v>
      </c>
      <c r="D15" s="1">
        <f>IF(D$4&lt;=核心参数输入!$B$9,MAX(0,D10+D11-D13),0)</f>
        <v>0</v>
      </c>
      <c r="E15" s="1">
        <f>IF(E$4&lt;=核心参数输入!$B$9,MAX(0,E10+E11-E13),0)</f>
        <v>9000</v>
      </c>
      <c r="F15" s="1">
        <f>IF(F$4&lt;=核心参数输入!$B$9,MAX(0,F10+F11-F13),0)</f>
        <v>21000</v>
      </c>
      <c r="G15" s="1">
        <f>IF(G$4&lt;=核心参数输入!$B$9,MAX(0,G10+G11-G13),0)</f>
        <v>30000</v>
      </c>
      <c r="H15" s="1">
        <f>IF(H$4&lt;=核心参数输入!$B$9,MAX(0,H10+H11-H13),0)</f>
        <v>25714.285714285714</v>
      </c>
      <c r="I15" s="1">
        <f>IF(I$4&lt;=核心参数输入!$B$9,MAX(0,I10+I11-I13),0)</f>
        <v>21428.571428571428</v>
      </c>
      <c r="J15" s="1">
        <f>IF(J$4&lt;=核心参数输入!$B$9,MAX(0,J10+J11-J13),0)</f>
        <v>17142.857142857141</v>
      </c>
      <c r="K15" s="1">
        <f>IF(K$4&lt;=核心参数输入!$B$9,MAX(0,K10+K11-K13),0)</f>
        <v>12857.142857142855</v>
      </c>
      <c r="L15" s="1">
        <f>IF(L$4&lt;=核心参数输入!$B$9,MAX(0,L10+L11-L13),0)</f>
        <v>8571.4285714285688</v>
      </c>
      <c r="M15" s="1">
        <f>IF(M$4&lt;=核心参数输入!$B$9,MAX(0,M10+M11-M13),0)</f>
        <v>4285.7142857142835</v>
      </c>
      <c r="N15" s="1">
        <f>IF(N$4&lt;=核心参数输入!$B$9,MAX(0,N10+N11-N13),0)</f>
        <v>0</v>
      </c>
      <c r="O15" s="1">
        <f>IF(O$4&lt;=核心参数输入!$B$9,MAX(0,O10+O11-O13),0)</f>
        <v>0</v>
      </c>
      <c r="P15" s="1">
        <f>IF(P$4&lt;=核心参数输入!$B$9,MAX(0,P10+P11-P13),0)</f>
        <v>0</v>
      </c>
      <c r="Q15" s="1">
        <f>IF(Q$4&lt;=核心参数输入!$B$9,MAX(0,Q10+Q11-Q13),0)</f>
        <v>0</v>
      </c>
      <c r="R15" s="1">
        <f>IF(R$4&lt;=核心参数输入!$B$9,MAX(0,R10+R11-R13),0)</f>
        <v>0</v>
      </c>
      <c r="S15" s="1">
        <f>IF(S$4&lt;=核心参数输入!$B$9,MAX(0,S10+S11-S13),0)</f>
        <v>0</v>
      </c>
      <c r="T15" s="1">
        <f>IF(T$4&lt;=核心参数输入!$B$9,MAX(0,T10+T11-T13),0)</f>
        <v>0</v>
      </c>
      <c r="U15" s="1">
        <f>IF(U$4&lt;=核心参数输入!$B$9,MAX(0,U10+U11-U13),0)</f>
        <v>0</v>
      </c>
      <c r="V15" s="1">
        <f>IF(V$4&lt;=核心参数输入!$B$9,MAX(0,V10+V11-V13),0)</f>
        <v>0</v>
      </c>
      <c r="W15" s="1">
        <f>IF(W$4&lt;=核心参数输入!$B$9,MAX(0,W10+W11-W13),0)</f>
        <v>0</v>
      </c>
      <c r="X15" s="1">
        <f>IF(X$4&lt;=核心参数输入!$B$9,MAX(0,X10+X11-X13),0)</f>
        <v>0</v>
      </c>
      <c r="Y15" s="1">
        <f>IF(Y$4&lt;=核心参数输入!$B$9,MAX(0,Y10+Y11-Y13),0)</f>
        <v>0</v>
      </c>
      <c r="Z15" s="1">
        <f>IF(Z$4&lt;=核心参数输入!$B$9,MAX(0,Z10+Z11-Z13),0)</f>
        <v>0</v>
      </c>
      <c r="AA15" s="1">
        <f>IF(AA$4&lt;=核心参数输入!$B$9,MAX(0,AA10+AA11-AA13),0)</f>
        <v>0</v>
      </c>
      <c r="AB15" s="1">
        <f>IF(AB$4&lt;=核心参数输入!$B$9,MAX(0,AB10+AB11-AB13),0)</f>
        <v>0</v>
      </c>
      <c r="AC15" s="1">
        <f>IF(AC$4&lt;=核心参数输入!$B$9,MAX(0,AC10+AC11-AC13),0)</f>
        <v>0</v>
      </c>
      <c r="AD15" s="1">
        <f>IF(AD$4&lt;=核心参数输入!$B$9,MAX(0,AD10+AD11-AD13),0)</f>
        <v>0</v>
      </c>
      <c r="AE15" s="1">
        <f>IF(AE$4&lt;=核心参数输入!$B$9,MAX(0,AE10+AE11-AE13),0)</f>
        <v>0</v>
      </c>
      <c r="AF15" s="1">
        <f>IF(AF$4&lt;=核心参数输入!$B$9,MAX(0,AF10+AF11-AF13),0)</f>
        <v>0</v>
      </c>
      <c r="AG15" s="1">
        <f>IF(AG$4&lt;=核心参数输入!$B$9,MAX(0,AG10+AG11-AG13),0)</f>
        <v>0</v>
      </c>
      <c r="AH15" s="1">
        <f>IF(AH$4&lt;=核心参数输入!$B$9,MAX(0,AH10+AH11-AH13),0)</f>
        <v>0</v>
      </c>
    </row>
    <row r="16" spans="1:34" ht="21" customHeight="1">
      <c r="A16" s="11" t="s">
        <v>218</v>
      </c>
      <c r="B16" s="11" t="s">
        <v>54</v>
      </c>
      <c r="D16" s="1">
        <f>IF(D$4&lt;=核心参数输入!$B$9,IF(D$4&lt;=核心参数输入!$B$16,D14,0),0)</f>
        <v>0</v>
      </c>
      <c r="E16" s="1">
        <f>IF(E$4&lt;=核心参数输入!$B$9,IF(E$4&lt;=核心参数输入!$B$16,E14,0),0)</f>
        <v>189</v>
      </c>
      <c r="F16" s="1">
        <f>IF(F$4&lt;=核心参数输入!$B$9,IF(F$4&lt;=核心参数输入!$B$16,F14,0),0)</f>
        <v>630</v>
      </c>
      <c r="G16" s="1">
        <f>IF(G$4&lt;=核心参数输入!$B$9,IF(G$4&lt;=核心参数输入!$B$16,G14,0),0)</f>
        <v>1071</v>
      </c>
      <c r="H16" s="1">
        <f>IF(H$4&lt;=核心参数输入!$B$9,IF(H$4&lt;=核心参数输入!$B$16,H14,0),0)</f>
        <v>0</v>
      </c>
      <c r="I16" s="1">
        <f>IF(I$4&lt;=核心参数输入!$B$9,IF(I$4&lt;=核心参数输入!$B$16,I14,0),0)</f>
        <v>0</v>
      </c>
      <c r="J16" s="1">
        <f>IF(J$4&lt;=核心参数输入!$B$9,IF(J$4&lt;=核心参数输入!$B$16,J14,0),0)</f>
        <v>0</v>
      </c>
      <c r="K16" s="1">
        <f>IF(K$4&lt;=核心参数输入!$B$9,IF(K$4&lt;=核心参数输入!$B$16,K14,0),0)</f>
        <v>0</v>
      </c>
      <c r="L16" s="1">
        <f>IF(L$4&lt;=核心参数输入!$B$9,IF(L$4&lt;=核心参数输入!$B$16,L14,0),0)</f>
        <v>0</v>
      </c>
      <c r="M16" s="1">
        <f>IF(M$4&lt;=核心参数输入!$B$9,IF(M$4&lt;=核心参数输入!$B$16,M14,0),0)</f>
        <v>0</v>
      </c>
      <c r="N16" s="1">
        <f>IF(N$4&lt;=核心参数输入!$B$9,IF(N$4&lt;=核心参数输入!$B$16,N14,0),0)</f>
        <v>0</v>
      </c>
      <c r="O16" s="1">
        <f>IF(O$4&lt;=核心参数输入!$B$9,IF(O$4&lt;=核心参数输入!$B$16,O14,0),0)</f>
        <v>0</v>
      </c>
      <c r="P16" s="1">
        <f>IF(P$4&lt;=核心参数输入!$B$9,IF(P$4&lt;=核心参数输入!$B$16,P14,0),0)</f>
        <v>0</v>
      </c>
      <c r="Q16" s="1">
        <f>IF(Q$4&lt;=核心参数输入!$B$9,IF(Q$4&lt;=核心参数输入!$B$16,Q14,0),0)</f>
        <v>0</v>
      </c>
      <c r="R16" s="1">
        <f>IF(R$4&lt;=核心参数输入!$B$9,IF(R$4&lt;=核心参数输入!$B$16,R14,0),0)</f>
        <v>0</v>
      </c>
      <c r="S16" s="1">
        <f>IF(S$4&lt;=核心参数输入!$B$9,IF(S$4&lt;=核心参数输入!$B$16,S14,0),0)</f>
        <v>0</v>
      </c>
      <c r="T16" s="1">
        <f>IF(T$4&lt;=核心参数输入!$B$9,IF(T$4&lt;=核心参数输入!$B$16,T14,0),0)</f>
        <v>0</v>
      </c>
      <c r="U16" s="1">
        <f>IF(U$4&lt;=核心参数输入!$B$9,IF(U$4&lt;=核心参数输入!$B$16,U14,0),0)</f>
        <v>0</v>
      </c>
      <c r="V16" s="1">
        <f>IF(V$4&lt;=核心参数输入!$B$9,IF(V$4&lt;=核心参数输入!$B$16,V14,0),0)</f>
        <v>0</v>
      </c>
      <c r="W16" s="1">
        <f>IF(W$4&lt;=核心参数输入!$B$9,IF(W$4&lt;=核心参数输入!$B$16,W14,0),0)</f>
        <v>0</v>
      </c>
      <c r="X16" s="1">
        <f>IF(X$4&lt;=核心参数输入!$B$9,IF(X$4&lt;=核心参数输入!$B$16,X14,0),0)</f>
        <v>0</v>
      </c>
      <c r="Y16" s="1">
        <f>IF(Y$4&lt;=核心参数输入!$B$9,IF(Y$4&lt;=核心参数输入!$B$16,Y14,0),0)</f>
        <v>0</v>
      </c>
      <c r="Z16" s="1">
        <f>IF(Z$4&lt;=核心参数输入!$B$9,IF(Z$4&lt;=核心参数输入!$B$16,Z14,0),0)</f>
        <v>0</v>
      </c>
      <c r="AA16" s="1">
        <f>IF(AA$4&lt;=核心参数输入!$B$9,IF(AA$4&lt;=核心参数输入!$B$16,AA14,0),0)</f>
        <v>0</v>
      </c>
      <c r="AB16" s="1">
        <f>IF(AB$4&lt;=核心参数输入!$B$9,IF(AB$4&lt;=核心参数输入!$B$16,AB14,0),0)</f>
        <v>0</v>
      </c>
      <c r="AC16" s="1">
        <f>IF(AC$4&lt;=核心参数输入!$B$9,IF(AC$4&lt;=核心参数输入!$B$16,AC14,0),0)</f>
        <v>0</v>
      </c>
      <c r="AD16" s="1">
        <f>IF(AD$4&lt;=核心参数输入!$B$9,IF(AD$4&lt;=核心参数输入!$B$16,AD14,0),0)</f>
        <v>0</v>
      </c>
      <c r="AE16" s="1">
        <f>IF(AE$4&lt;=核心参数输入!$B$9,IF(AE$4&lt;=核心参数输入!$B$16,AE14,0),0)</f>
        <v>0</v>
      </c>
      <c r="AF16" s="1">
        <f>IF(AF$4&lt;=核心参数输入!$B$9,IF(AF$4&lt;=核心参数输入!$B$16,AF14,0),0)</f>
        <v>0</v>
      </c>
      <c r="AG16" s="1">
        <f>IF(AG$4&lt;=核心参数输入!$B$9,IF(AG$4&lt;=核心参数输入!$B$16,AG14,0),0)</f>
        <v>0</v>
      </c>
      <c r="AH16" s="1">
        <f>IF(AH$4&lt;=核心参数输入!$B$9,IF(AH$4&lt;=核心参数输入!$B$16,AH14,0),0)</f>
        <v>0</v>
      </c>
    </row>
    <row r="17" spans="1:34" ht="21" customHeight="1">
      <c r="A17" s="11" t="s">
        <v>219</v>
      </c>
      <c r="B17" s="11" t="s">
        <v>54</v>
      </c>
      <c r="D17" s="1">
        <f>IF(D$4&lt;=核心参数输入!$B$9,D14-D16,0)</f>
        <v>0</v>
      </c>
      <c r="E17" s="1">
        <f>IF(E$4&lt;=核心参数输入!$B$9,E14-E16,0)</f>
        <v>0</v>
      </c>
      <c r="F17" s="1">
        <f>IF(F$4&lt;=核心参数输入!$B$9,F14-F16,0)</f>
        <v>0</v>
      </c>
      <c r="G17" s="1">
        <f>IF(G$4&lt;=核心参数输入!$B$9,G14-G16,0)</f>
        <v>0</v>
      </c>
      <c r="H17" s="1">
        <f>IF(H$4&lt;=核心参数输入!$B$9,H14-H16,0)</f>
        <v>1170.0000000000002</v>
      </c>
      <c r="I17" s="1">
        <f>IF(I$4&lt;=核心参数输入!$B$9,I14-I16,0)</f>
        <v>990.00000000000011</v>
      </c>
      <c r="J17" s="1">
        <f>IF(J$4&lt;=核心参数输入!$B$9,J14-J16,0)</f>
        <v>810.00000000000011</v>
      </c>
      <c r="K17" s="1">
        <f>IF(K$4&lt;=核心参数输入!$B$9,K14-K16,0)</f>
        <v>630</v>
      </c>
      <c r="L17" s="1">
        <f>IF(L$4&lt;=核心参数输入!$B$9,L14-L16,0)</f>
        <v>449.99999999999994</v>
      </c>
      <c r="M17" s="1">
        <f>IF(M$4&lt;=核心参数输入!$B$9,M14-M16,0)</f>
        <v>269.99999999999989</v>
      </c>
      <c r="N17" s="1">
        <f>IF(N$4&lt;=核心参数输入!$B$9,N14-N16,0)</f>
        <v>89.999999999999957</v>
      </c>
      <c r="O17" s="1">
        <f>IF(O$4&lt;=核心参数输入!$B$9,O14-O16,0)</f>
        <v>0</v>
      </c>
      <c r="P17" s="1">
        <f>IF(P$4&lt;=核心参数输入!$B$9,P14-P16,0)</f>
        <v>0</v>
      </c>
      <c r="Q17" s="1">
        <f>IF(Q$4&lt;=核心参数输入!$B$9,Q14-Q16,0)</f>
        <v>0</v>
      </c>
      <c r="R17" s="1">
        <f>IF(R$4&lt;=核心参数输入!$B$9,R14-R16,0)</f>
        <v>0</v>
      </c>
      <c r="S17" s="1">
        <f>IF(S$4&lt;=核心参数输入!$B$9,S14-S16,0)</f>
        <v>0</v>
      </c>
      <c r="T17" s="1">
        <f>IF(T$4&lt;=核心参数输入!$B$9,T14-T16,0)</f>
        <v>0</v>
      </c>
      <c r="U17" s="1">
        <f>IF(U$4&lt;=核心参数输入!$B$9,U14-U16,0)</f>
        <v>0</v>
      </c>
      <c r="V17" s="1">
        <f>IF(V$4&lt;=核心参数输入!$B$9,V14-V16,0)</f>
        <v>0</v>
      </c>
      <c r="W17" s="1">
        <f>IF(W$4&lt;=核心参数输入!$B$9,W14-W16,0)</f>
        <v>0</v>
      </c>
      <c r="X17" s="1">
        <f>IF(X$4&lt;=核心参数输入!$B$9,X14-X16,0)</f>
        <v>0</v>
      </c>
      <c r="Y17" s="1">
        <f>IF(Y$4&lt;=核心参数输入!$B$9,Y14-Y16,0)</f>
        <v>0</v>
      </c>
      <c r="Z17" s="1">
        <f>IF(Z$4&lt;=核心参数输入!$B$9,Z14-Z16,0)</f>
        <v>0</v>
      </c>
      <c r="AA17" s="1">
        <f>IF(AA$4&lt;=核心参数输入!$B$9,AA14-AA16,0)</f>
        <v>0</v>
      </c>
      <c r="AB17" s="1">
        <f>IF(AB$4&lt;=核心参数输入!$B$9,AB14-AB16,0)</f>
        <v>0</v>
      </c>
      <c r="AC17" s="1">
        <f>IF(AC$4&lt;=核心参数输入!$B$9,AC14-AC16,0)</f>
        <v>0</v>
      </c>
      <c r="AD17" s="1">
        <f>IF(AD$4&lt;=核心参数输入!$B$9,AD14-AD16,0)</f>
        <v>0</v>
      </c>
      <c r="AE17" s="1">
        <f>IF(AE$4&lt;=核心参数输入!$B$9,AE14-AE16,0)</f>
        <v>0</v>
      </c>
      <c r="AF17" s="1">
        <f>IF(AF$4&lt;=核心参数输入!$B$9,AF14-AF16,0)</f>
        <v>0</v>
      </c>
      <c r="AG17" s="1">
        <f>IF(AG$4&lt;=核心参数输入!$B$9,AG14-AG16,0)</f>
        <v>0</v>
      </c>
      <c r="AH17" s="1">
        <f>IF(AH$4&lt;=核心参数输入!$B$9,AH14-AH16,0)</f>
        <v>0</v>
      </c>
    </row>
    <row r="18" spans="1:34" ht="21" customHeight="1">
      <c r="A18" s="11" t="s">
        <v>220</v>
      </c>
      <c r="B18" s="11" t="s">
        <v>54</v>
      </c>
      <c r="D18" s="1">
        <f>IF(D$4&lt;=核心参数输入!$B$9,D13+D14,0)</f>
        <v>0</v>
      </c>
      <c r="E18" s="1">
        <f>IF(E$4&lt;=核心参数输入!$B$9,E13+E14,0)</f>
        <v>189</v>
      </c>
      <c r="F18" s="1">
        <f>IF(F$4&lt;=核心参数输入!$B$9,F13+F14,0)</f>
        <v>630</v>
      </c>
      <c r="G18" s="1">
        <f>IF(G$4&lt;=核心参数输入!$B$9,G13+G14,0)</f>
        <v>1071</v>
      </c>
      <c r="H18" s="1">
        <f>IF(H$4&lt;=核心参数输入!$B$9,H13+H14,0)</f>
        <v>5455.7142857142853</v>
      </c>
      <c r="I18" s="1">
        <f>IF(I$4&lt;=核心参数输入!$B$9,I13+I14,0)</f>
        <v>5275.7142857142853</v>
      </c>
      <c r="J18" s="1">
        <f>IF(J$4&lt;=核心参数输入!$B$9,J13+J14,0)</f>
        <v>5095.7142857142853</v>
      </c>
      <c r="K18" s="1">
        <f>IF(K$4&lt;=核心参数输入!$B$9,K13+K14,0)</f>
        <v>4915.7142857142853</v>
      </c>
      <c r="L18" s="1">
        <f>IF(L$4&lt;=核心参数输入!$B$9,L13+L14,0)</f>
        <v>4735.7142857142853</v>
      </c>
      <c r="M18" s="1">
        <f>IF(M$4&lt;=核心参数输入!$B$9,M13+M14,0)</f>
        <v>4555.7142857142853</v>
      </c>
      <c r="N18" s="1">
        <f>IF(N$4&lt;=核心参数输入!$B$9,N13+N14,0)</f>
        <v>4375.7142857142835</v>
      </c>
      <c r="O18" s="1">
        <f>IF(O$4&lt;=核心参数输入!$B$9,O13+O14,0)</f>
        <v>0</v>
      </c>
      <c r="P18" s="1">
        <f>IF(P$4&lt;=核心参数输入!$B$9,P13+P14,0)</f>
        <v>0</v>
      </c>
      <c r="Q18" s="1">
        <f>IF(Q$4&lt;=核心参数输入!$B$9,Q13+Q14,0)</f>
        <v>0</v>
      </c>
      <c r="R18" s="1">
        <f>IF(R$4&lt;=核心参数输入!$B$9,R13+R14,0)</f>
        <v>0</v>
      </c>
      <c r="S18" s="1">
        <f>IF(S$4&lt;=核心参数输入!$B$9,S13+S14,0)</f>
        <v>0</v>
      </c>
      <c r="T18" s="1">
        <f>IF(T$4&lt;=核心参数输入!$B$9,T13+T14,0)</f>
        <v>0</v>
      </c>
      <c r="U18" s="1">
        <f>IF(U$4&lt;=核心参数输入!$B$9,U13+U14,0)</f>
        <v>0</v>
      </c>
      <c r="V18" s="1">
        <f>IF(V$4&lt;=核心参数输入!$B$9,V13+V14,0)</f>
        <v>0</v>
      </c>
      <c r="W18" s="1">
        <f>IF(W$4&lt;=核心参数输入!$B$9,W13+W14,0)</f>
        <v>0</v>
      </c>
      <c r="X18" s="1">
        <f>IF(X$4&lt;=核心参数输入!$B$9,X13+X14,0)</f>
        <v>0</v>
      </c>
      <c r="Y18" s="1">
        <f>IF(Y$4&lt;=核心参数输入!$B$9,Y13+Y14,0)</f>
        <v>0</v>
      </c>
      <c r="Z18" s="1">
        <f>IF(Z$4&lt;=核心参数输入!$B$9,Z13+Z14,0)</f>
        <v>0</v>
      </c>
      <c r="AA18" s="1">
        <f>IF(AA$4&lt;=核心参数输入!$B$9,AA13+AA14,0)</f>
        <v>0</v>
      </c>
      <c r="AB18" s="1">
        <f>IF(AB$4&lt;=核心参数输入!$B$9,AB13+AB14,0)</f>
        <v>0</v>
      </c>
      <c r="AC18" s="1">
        <f>IF(AC$4&lt;=核心参数输入!$B$9,AC13+AC14,0)</f>
        <v>0</v>
      </c>
      <c r="AD18" s="1">
        <f>IF(AD$4&lt;=核心参数输入!$B$9,AD13+AD14,0)</f>
        <v>0</v>
      </c>
      <c r="AE18" s="1">
        <f>IF(AE$4&lt;=核心参数输入!$B$9,AE13+AE14,0)</f>
        <v>0</v>
      </c>
      <c r="AF18" s="1">
        <f>IF(AF$4&lt;=核心参数输入!$B$9,AF13+AF14,0)</f>
        <v>0</v>
      </c>
      <c r="AG18" s="1">
        <f>IF(AG$4&lt;=核心参数输入!$B$9,AG13+AG14,0)</f>
        <v>0</v>
      </c>
      <c r="AH18" s="1">
        <f>IF(AH$4&lt;=核心参数输入!$B$9,AH13+AH14,0)</f>
        <v>0</v>
      </c>
    </row>
    <row r="19" spans="1:34" ht="21" customHeight="1">
      <c r="A19" s="11" t="s">
        <v>221</v>
      </c>
      <c r="B19" s="11" t="s">
        <v>54</v>
      </c>
      <c r="D19" s="1">
        <f>IF(D$4&lt;=核心参数输入!$B$9,IF(D$4=$B$7,D15,0),0)</f>
        <v>0</v>
      </c>
      <c r="E19" s="1">
        <f>IF(E$4&lt;=核心参数输入!$B$9,IF(E$4=$B$7,E15,0),0)</f>
        <v>0</v>
      </c>
      <c r="F19" s="1">
        <f>IF(F$4&lt;=核心参数输入!$B$9,IF(F$4=$B$7,F15,0),0)</f>
        <v>0</v>
      </c>
      <c r="G19" s="1">
        <f>IF(G$4&lt;=核心参数输入!$B$9,IF(G$4=$B$7,G15,0),0)</f>
        <v>0</v>
      </c>
      <c r="H19" s="1">
        <f>IF(H$4&lt;=核心参数输入!$B$9,IF(H$4=$B$7,H15,0),0)</f>
        <v>0</v>
      </c>
      <c r="I19" s="1">
        <f>IF(I$4&lt;=核心参数输入!$B$9,IF(I$4=$B$7,I15,0),0)</f>
        <v>0</v>
      </c>
      <c r="J19" s="1">
        <f>IF(J$4&lt;=核心参数输入!$B$9,IF(J$4=$B$7,J15,0),0)</f>
        <v>0</v>
      </c>
      <c r="K19" s="1">
        <f>IF(K$4&lt;=核心参数输入!$B$9,IF(K$4=$B$7,K15,0),0)</f>
        <v>0</v>
      </c>
      <c r="L19" s="1">
        <f>IF(L$4&lt;=核心参数输入!$B$9,IF(L$4=$B$7,L15,0),0)</f>
        <v>0</v>
      </c>
      <c r="M19" s="1">
        <f>IF(M$4&lt;=核心参数输入!$B$9,IF(M$4=$B$7,M15,0),0)</f>
        <v>0</v>
      </c>
      <c r="N19" s="1">
        <f>IF(N$4&lt;=核心参数输入!$B$9,IF(N$4=$B$7,N15,0),0)</f>
        <v>0</v>
      </c>
      <c r="O19" s="1">
        <f>IF(O$4&lt;=核心参数输入!$B$9,IF(O$4=$B$7,O15,0),0)</f>
        <v>0</v>
      </c>
      <c r="P19" s="1">
        <f>IF(P$4&lt;=核心参数输入!$B$9,IF(P$4=$B$7,P15,0),0)</f>
        <v>0</v>
      </c>
      <c r="Q19" s="1">
        <f>IF(Q$4&lt;=核心参数输入!$B$9,IF(Q$4=$B$7,Q15,0),0)</f>
        <v>0</v>
      </c>
      <c r="R19" s="1">
        <f>IF(R$4&lt;=核心参数输入!$B$9,IF(R$4=$B$7,R15,0),0)</f>
        <v>0</v>
      </c>
      <c r="S19" s="1">
        <f>IF(S$4&lt;=核心参数输入!$B$9,IF(S$4=$B$7,S15,0),0)</f>
        <v>0</v>
      </c>
      <c r="T19" s="1">
        <f>IF(T$4&lt;=核心参数输入!$B$9,IF(T$4=$B$7,T15,0),0)</f>
        <v>0</v>
      </c>
      <c r="U19" s="1">
        <f>IF(U$4&lt;=核心参数输入!$B$9,IF(U$4=$B$7,U15,0),0)</f>
        <v>0</v>
      </c>
      <c r="V19" s="1">
        <f>IF(V$4&lt;=核心参数输入!$B$9,IF(V$4=$B$7,V15,0),0)</f>
        <v>0</v>
      </c>
      <c r="W19" s="1">
        <f>IF(W$4&lt;=核心参数输入!$B$9,IF(W$4=$B$7,W15,0),0)</f>
        <v>0</v>
      </c>
      <c r="X19" s="1">
        <f>IF(X$4&lt;=核心参数输入!$B$9,IF(X$4=$B$7,X15,0),0)</f>
        <v>0</v>
      </c>
      <c r="Y19" s="1">
        <f>IF(Y$4&lt;=核心参数输入!$B$9,IF(Y$4=$B$7,Y15,0),0)</f>
        <v>0</v>
      </c>
      <c r="Z19" s="1">
        <f>IF(Z$4&lt;=核心参数输入!$B$9,IF(Z$4=$B$7,Z15,0),0)</f>
        <v>0</v>
      </c>
      <c r="AA19" s="1">
        <f>IF(AA$4&lt;=核心参数输入!$B$9,IF(AA$4=$B$7,AA15,0),0)</f>
        <v>0</v>
      </c>
      <c r="AB19" s="1">
        <f>IF(AB$4&lt;=核心参数输入!$B$9,IF(AB$4=$B$7,AB15,0),0)</f>
        <v>0</v>
      </c>
      <c r="AC19" s="1">
        <f>IF(AC$4&lt;=核心参数输入!$B$9,IF(AC$4=$B$7,AC15,0),0)</f>
        <v>0</v>
      </c>
      <c r="AD19" s="1">
        <f>IF(AD$4&lt;=核心参数输入!$B$9,IF(AD$4=$B$7,AD15,0),0)</f>
        <v>0</v>
      </c>
      <c r="AE19" s="1">
        <f>IF(AE$4&lt;=核心参数输入!$B$9,IF(AE$4=$B$7,AE15,0),0)</f>
        <v>0</v>
      </c>
      <c r="AF19" s="1">
        <f>IF(AF$4&lt;=核心参数输入!$B$9,IF(AF$4=$B$7,AF15,0),0)</f>
        <v>0</v>
      </c>
      <c r="AG19" s="1">
        <f>IF(AG$4&lt;=核心参数输入!$B$9,IF(AG$4=$B$7,AG15,0),0)</f>
        <v>0</v>
      </c>
      <c r="AH19" s="1">
        <f>IF(AH$4&lt;=核心参数输入!$B$9,IF(AH$4=$B$7,AH15,0),0)</f>
        <v>0</v>
      </c>
    </row>
    <row r="83" spans="1:34" ht="21" customHeight="1">
      <c r="A83" s="3" t="s">
        <v>222</v>
      </c>
    </row>
    <row r="86" spans="1:34" ht="21" customHeight="1">
      <c r="A86" s="11" t="s">
        <v>209</v>
      </c>
      <c r="B86" s="12">
        <f>IF(核心参数输入!$B$57=0,0,IFERROR(MATCH(1,融资与还本付息!$D$92:$AH$92,0)-1,0))</f>
        <v>1</v>
      </c>
    </row>
    <row r="87" spans="1:34" ht="21" customHeight="1">
      <c r="A87" s="11" t="s">
        <v>210</v>
      </c>
      <c r="B87" s="12">
        <f>IF(核心参数输入!$B$57=0,0,B86+核心参数输入!$B$59-1)</f>
        <v>10</v>
      </c>
    </row>
    <row r="88" spans="1:34" ht="21" customHeight="1">
      <c r="A88" s="11" t="s">
        <v>211</v>
      </c>
      <c r="B88" s="12">
        <f>IF(核心参数输入!$B$57=0,0,MAX(1,B87-核心参数输入!$B$60+1))</f>
        <v>7</v>
      </c>
    </row>
    <row r="90" spans="1:34" ht="21" customHeight="1">
      <c r="A90" s="11" t="s">
        <v>212</v>
      </c>
      <c r="B90" s="11" t="s">
        <v>54</v>
      </c>
      <c r="D90" s="1">
        <f>IF(D$4&lt;=核心参数输入!$B$9,0,0)</f>
        <v>0</v>
      </c>
      <c r="E90" s="1">
        <f>IF(E$4&lt;=核心参数输入!$B$9,D95,0)</f>
        <v>0</v>
      </c>
      <c r="F90" s="1">
        <f>IF(F$4&lt;=核心参数输入!$B$9,E95,0)</f>
        <v>9000</v>
      </c>
      <c r="G90" s="1">
        <f>IF(G$4&lt;=核心参数输入!$B$9,F95,0)</f>
        <v>21000</v>
      </c>
      <c r="H90" s="1">
        <f>IF(H$4&lt;=核心参数输入!$B$9,G95,0)</f>
        <v>30000</v>
      </c>
      <c r="I90" s="1">
        <f>IF(I$4&lt;=核心参数输入!$B$9,H95,0)</f>
        <v>25714.285714285714</v>
      </c>
      <c r="J90" s="1">
        <f>IF(J$4&lt;=核心参数输入!$B$9,I95,0)</f>
        <v>21428.571428571428</v>
      </c>
      <c r="K90" s="1">
        <f>IF(K$4&lt;=核心参数输入!$B$9,J95,0)</f>
        <v>17142.857142857141</v>
      </c>
      <c r="L90" s="1">
        <f>IF(L$4&lt;=核心参数输入!$B$9,K95,0)</f>
        <v>12857.142857142855</v>
      </c>
      <c r="M90" s="1">
        <f>IF(M$4&lt;=核心参数输入!$B$9,L95,0)</f>
        <v>8571.4285714285688</v>
      </c>
      <c r="N90" s="1">
        <f>IF(N$4&lt;=核心参数输入!$B$9,M95,0)</f>
        <v>4285.7142857142835</v>
      </c>
      <c r="O90" s="1">
        <f>IF(O$4&lt;=核心参数输入!$B$9,N95,0)</f>
        <v>0</v>
      </c>
      <c r="P90" s="1">
        <f>IF(P$4&lt;=核心参数输入!$B$9,O95,0)</f>
        <v>0</v>
      </c>
      <c r="Q90" s="1">
        <f>IF(Q$4&lt;=核心参数输入!$B$9,P95,0)</f>
        <v>0</v>
      </c>
      <c r="R90" s="1">
        <f>IF(R$4&lt;=核心参数输入!$B$9,Q95,0)</f>
        <v>0</v>
      </c>
      <c r="S90" s="1">
        <f>IF(S$4&lt;=核心参数输入!$B$9,R95,0)</f>
        <v>0</v>
      </c>
      <c r="T90" s="1">
        <f>IF(T$4&lt;=核心参数输入!$B$9,S95,0)</f>
        <v>0</v>
      </c>
      <c r="U90" s="1">
        <f>IF(U$4&lt;=核心参数输入!$B$9,T95,0)</f>
        <v>0</v>
      </c>
      <c r="V90" s="1">
        <f>IF(V$4&lt;=核心参数输入!$B$9,U95,0)</f>
        <v>0</v>
      </c>
      <c r="W90" s="1">
        <f>IF(W$4&lt;=核心参数输入!$B$9,V95,0)</f>
        <v>0</v>
      </c>
      <c r="X90" s="1">
        <f>IF(X$4&lt;=核心参数输入!$B$9,W95,0)</f>
        <v>0</v>
      </c>
      <c r="Y90" s="1">
        <f>IF(Y$4&lt;=核心参数输入!$B$9,X95,0)</f>
        <v>0</v>
      </c>
      <c r="Z90" s="1">
        <f>IF(Z$4&lt;=核心参数输入!$B$9,Y95,0)</f>
        <v>0</v>
      </c>
      <c r="AA90" s="1">
        <f>IF(AA$4&lt;=核心参数输入!$B$9,Z95,0)</f>
        <v>0</v>
      </c>
      <c r="AB90" s="1">
        <f>IF(AB$4&lt;=核心参数输入!$B$9,AA95,0)</f>
        <v>0</v>
      </c>
      <c r="AC90" s="1">
        <f>IF(AC$4&lt;=核心参数输入!$B$9,AB95,0)</f>
        <v>0</v>
      </c>
      <c r="AD90" s="1">
        <f>IF(AD$4&lt;=核心参数输入!$B$9,AC95,0)</f>
        <v>0</v>
      </c>
      <c r="AE90" s="1">
        <f>IF(AE$4&lt;=核心参数输入!$B$9,AD95,0)</f>
        <v>0</v>
      </c>
      <c r="AF90" s="1">
        <f>IF(AF$4&lt;=核心参数输入!$B$9,AE95,0)</f>
        <v>0</v>
      </c>
      <c r="AG90" s="1">
        <f>IF(AG$4&lt;=核心参数输入!$B$9,AF95,0)</f>
        <v>0</v>
      </c>
      <c r="AH90" s="1">
        <f>IF(AH$4&lt;=核心参数输入!$B$9,AG95,0)</f>
        <v>0</v>
      </c>
    </row>
    <row r="91" spans="1:34" ht="21" customHeight="1">
      <c r="A91" s="11" t="s">
        <v>213</v>
      </c>
      <c r="B91" s="11" t="s">
        <v>54</v>
      </c>
      <c r="D91" s="1">
        <f>IF(D$4&lt;=核心参数输入!$B$9,核心参数输入!$B$57*建筑面积与开发计划!D100,0)</f>
        <v>0</v>
      </c>
      <c r="E91" s="1">
        <f>IF(E$4&lt;=核心参数输入!$B$9,核心参数输入!$B$57*建筑面积与开发计划!E100,0)</f>
        <v>9000</v>
      </c>
      <c r="F91" s="1">
        <f>IF(F$4&lt;=核心参数输入!$B$9,核心参数输入!$B$57*建筑面积与开发计划!F100,0)</f>
        <v>12000</v>
      </c>
      <c r="G91" s="1">
        <f>IF(G$4&lt;=核心参数输入!$B$9,核心参数输入!$B$57*建筑面积与开发计划!G100,0)</f>
        <v>9000</v>
      </c>
      <c r="H91" s="1">
        <f>IF(H$4&lt;=核心参数输入!$B$9,核心参数输入!$B$57*建筑面积与开发计划!H100,0)</f>
        <v>0</v>
      </c>
      <c r="I91" s="1">
        <f>IF(I$4&lt;=核心参数输入!$B$9,核心参数输入!$B$57*建筑面积与开发计划!I100,0)</f>
        <v>0</v>
      </c>
      <c r="J91" s="1">
        <f>IF(J$4&lt;=核心参数输入!$B$9,核心参数输入!$B$57*建筑面积与开发计划!J100,0)</f>
        <v>0</v>
      </c>
      <c r="K91" s="1">
        <f>IF(K$4&lt;=核心参数输入!$B$9,核心参数输入!$B$57*建筑面积与开发计划!K100,0)</f>
        <v>0</v>
      </c>
      <c r="L91" s="1">
        <f>IF(L$4&lt;=核心参数输入!$B$9,核心参数输入!$B$57*建筑面积与开发计划!L100,0)</f>
        <v>0</v>
      </c>
      <c r="M91" s="1">
        <f>IF(M$4&lt;=核心参数输入!$B$9,核心参数输入!$B$57*建筑面积与开发计划!M100,0)</f>
        <v>0</v>
      </c>
      <c r="N91" s="1">
        <f>IF(N$4&lt;=核心参数输入!$B$9,核心参数输入!$B$57*建筑面积与开发计划!N100,0)</f>
        <v>0</v>
      </c>
      <c r="O91" s="1">
        <f>IF(O$4&lt;=核心参数输入!$B$9,核心参数输入!$B$57*建筑面积与开发计划!O100,0)</f>
        <v>0</v>
      </c>
      <c r="P91" s="1">
        <f>IF(P$4&lt;=核心参数输入!$B$9,核心参数输入!$B$57*建筑面积与开发计划!P100,0)</f>
        <v>0</v>
      </c>
      <c r="Q91" s="1">
        <f>IF(Q$4&lt;=核心参数输入!$B$9,核心参数输入!$B$57*建筑面积与开发计划!Q100,0)</f>
        <v>0</v>
      </c>
      <c r="R91" s="1">
        <f>IF(R$4&lt;=核心参数输入!$B$9,核心参数输入!$B$57*建筑面积与开发计划!R100,0)</f>
        <v>0</v>
      </c>
      <c r="S91" s="1">
        <f>IF(S$4&lt;=核心参数输入!$B$9,核心参数输入!$B$57*建筑面积与开发计划!S100,0)</f>
        <v>0</v>
      </c>
      <c r="T91" s="1">
        <f>IF(T$4&lt;=核心参数输入!$B$9,核心参数输入!$B$57*建筑面积与开发计划!T100,0)</f>
        <v>0</v>
      </c>
      <c r="U91" s="1">
        <f>IF(U$4&lt;=核心参数输入!$B$9,核心参数输入!$B$57*建筑面积与开发计划!U100,0)</f>
        <v>0</v>
      </c>
      <c r="V91" s="1">
        <f>IF(V$4&lt;=核心参数输入!$B$9,核心参数输入!$B$57*建筑面积与开发计划!V100,0)</f>
        <v>0</v>
      </c>
      <c r="W91" s="1">
        <f>IF(W$4&lt;=核心参数输入!$B$9,核心参数输入!$B$57*建筑面积与开发计划!W100,0)</f>
        <v>0</v>
      </c>
      <c r="X91" s="1">
        <f>IF(X$4&lt;=核心参数输入!$B$9,核心参数输入!$B$57*建筑面积与开发计划!X100,0)</f>
        <v>0</v>
      </c>
      <c r="Y91" s="1">
        <f>IF(Y$4&lt;=核心参数输入!$B$9,核心参数输入!$B$57*建筑面积与开发计划!Y100,0)</f>
        <v>0</v>
      </c>
      <c r="Z91" s="1">
        <f>IF(Z$4&lt;=核心参数输入!$B$9,核心参数输入!$B$57*建筑面积与开发计划!Z100,0)</f>
        <v>0</v>
      </c>
      <c r="AA91" s="1">
        <f>IF(AA$4&lt;=核心参数输入!$B$9,核心参数输入!$B$57*建筑面积与开发计划!AA100,0)</f>
        <v>0</v>
      </c>
      <c r="AB91" s="1">
        <f>IF(AB$4&lt;=核心参数输入!$B$9,核心参数输入!$B$57*建筑面积与开发计划!AB100,0)</f>
        <v>0</v>
      </c>
      <c r="AC91" s="1">
        <f>IF(AC$4&lt;=核心参数输入!$B$9,核心参数输入!$B$57*建筑面积与开发计划!AC100,0)</f>
        <v>0</v>
      </c>
      <c r="AD91" s="1">
        <f>IF(AD$4&lt;=核心参数输入!$B$9,核心参数输入!$B$57*建筑面积与开发计划!AD100,0)</f>
        <v>0</v>
      </c>
      <c r="AE91" s="1">
        <f>IF(AE$4&lt;=核心参数输入!$B$9,核心参数输入!$B$57*建筑面积与开发计划!AE100,0)</f>
        <v>0</v>
      </c>
      <c r="AF91" s="1">
        <f>IF(AF$4&lt;=核心参数输入!$B$9,核心参数输入!$B$57*建筑面积与开发计划!AF100,0)</f>
        <v>0</v>
      </c>
      <c r="AG91" s="1">
        <f>IF(AG$4&lt;=核心参数输入!$B$9,核心参数输入!$B$57*建筑面积与开发计划!AG100,0)</f>
        <v>0</v>
      </c>
      <c r="AH91" s="1">
        <f>IF(AH$4&lt;=核心参数输入!$B$9,核心参数输入!$B$57*建筑面积与开发计划!AH100,0)</f>
        <v>0</v>
      </c>
    </row>
    <row r="92" spans="1:34" ht="21" customHeight="1">
      <c r="A92" s="11" t="s">
        <v>214</v>
      </c>
      <c r="B92" s="11" t="s">
        <v>178</v>
      </c>
      <c r="D92" s="1">
        <f>IF(D$4&lt;=核心参数输入!$B$9,IF(D91&gt;0.000001,1,0),0)</f>
        <v>0</v>
      </c>
      <c r="E92" s="1">
        <f>IF(E$4&lt;=核心参数输入!$B$9,IF(E91&gt;0.000001,1,0),0)</f>
        <v>1</v>
      </c>
      <c r="F92" s="1">
        <f>IF(F$4&lt;=核心参数输入!$B$9,IF(F91&gt;0.000001,1,0),0)</f>
        <v>1</v>
      </c>
      <c r="G92" s="1">
        <f>IF(G$4&lt;=核心参数输入!$B$9,IF(G91&gt;0.000001,1,0),0)</f>
        <v>1</v>
      </c>
      <c r="H92" s="1">
        <f>IF(H$4&lt;=核心参数输入!$B$9,IF(H91&gt;0.000001,1,0),0)</f>
        <v>0</v>
      </c>
      <c r="I92" s="1">
        <f>IF(I$4&lt;=核心参数输入!$B$9,IF(I91&gt;0.000001,1,0),0)</f>
        <v>0</v>
      </c>
      <c r="J92" s="1">
        <f>IF(J$4&lt;=核心参数输入!$B$9,IF(J91&gt;0.000001,1,0),0)</f>
        <v>0</v>
      </c>
      <c r="K92" s="1">
        <f>IF(K$4&lt;=核心参数输入!$B$9,IF(K91&gt;0.000001,1,0),0)</f>
        <v>0</v>
      </c>
      <c r="L92" s="1">
        <f>IF(L$4&lt;=核心参数输入!$B$9,IF(L91&gt;0.000001,1,0),0)</f>
        <v>0</v>
      </c>
      <c r="M92" s="1">
        <f>IF(M$4&lt;=核心参数输入!$B$9,IF(M91&gt;0.000001,1,0),0)</f>
        <v>0</v>
      </c>
      <c r="N92" s="1">
        <f>IF(N$4&lt;=核心参数输入!$B$9,IF(N91&gt;0.000001,1,0),0)</f>
        <v>0</v>
      </c>
      <c r="O92" s="1">
        <f>IF(O$4&lt;=核心参数输入!$B$9,IF(O91&gt;0.000001,1,0),0)</f>
        <v>0</v>
      </c>
      <c r="P92" s="1">
        <f>IF(P$4&lt;=核心参数输入!$B$9,IF(P91&gt;0.000001,1,0),0)</f>
        <v>0</v>
      </c>
      <c r="Q92" s="1">
        <f>IF(Q$4&lt;=核心参数输入!$B$9,IF(Q91&gt;0.000001,1,0),0)</f>
        <v>0</v>
      </c>
      <c r="R92" s="1">
        <f>IF(R$4&lt;=核心参数输入!$B$9,IF(R91&gt;0.000001,1,0),0)</f>
        <v>0</v>
      </c>
      <c r="S92" s="1">
        <f>IF(S$4&lt;=核心参数输入!$B$9,IF(S91&gt;0.000001,1,0),0)</f>
        <v>0</v>
      </c>
      <c r="T92" s="1">
        <f>IF(T$4&lt;=核心参数输入!$B$9,IF(T91&gt;0.000001,1,0),0)</f>
        <v>0</v>
      </c>
      <c r="U92" s="1">
        <f>IF(U$4&lt;=核心参数输入!$B$9,IF(U91&gt;0.000001,1,0),0)</f>
        <v>0</v>
      </c>
      <c r="V92" s="1">
        <f>IF(V$4&lt;=核心参数输入!$B$9,IF(V91&gt;0.000001,1,0),0)</f>
        <v>0</v>
      </c>
      <c r="W92" s="1">
        <f>IF(W$4&lt;=核心参数输入!$B$9,IF(W91&gt;0.000001,1,0),0)</f>
        <v>0</v>
      </c>
      <c r="X92" s="1">
        <f>IF(X$4&lt;=核心参数输入!$B$9,IF(X91&gt;0.000001,1,0),0)</f>
        <v>0</v>
      </c>
      <c r="Y92" s="1">
        <f>IF(Y$4&lt;=核心参数输入!$B$9,IF(Y91&gt;0.000001,1,0),0)</f>
        <v>0</v>
      </c>
      <c r="Z92" s="1">
        <f>IF(Z$4&lt;=核心参数输入!$B$9,IF(Z91&gt;0.000001,1,0),0)</f>
        <v>0</v>
      </c>
      <c r="AA92" s="1">
        <f>IF(AA$4&lt;=核心参数输入!$B$9,IF(AA91&gt;0.000001,1,0),0)</f>
        <v>0</v>
      </c>
      <c r="AB92" s="1">
        <f>IF(AB$4&lt;=核心参数输入!$B$9,IF(AB91&gt;0.000001,1,0),0)</f>
        <v>0</v>
      </c>
      <c r="AC92" s="1">
        <f>IF(AC$4&lt;=核心参数输入!$B$9,IF(AC91&gt;0.000001,1,0),0)</f>
        <v>0</v>
      </c>
      <c r="AD92" s="1">
        <f>IF(AD$4&lt;=核心参数输入!$B$9,IF(AD91&gt;0.000001,1,0),0)</f>
        <v>0</v>
      </c>
      <c r="AE92" s="1">
        <f>IF(AE$4&lt;=核心参数输入!$B$9,IF(AE91&gt;0.000001,1,0),0)</f>
        <v>0</v>
      </c>
      <c r="AF92" s="1">
        <f>IF(AF$4&lt;=核心参数输入!$B$9,IF(AF91&gt;0.000001,1,0),0)</f>
        <v>0</v>
      </c>
      <c r="AG92" s="1">
        <f>IF(AG$4&lt;=核心参数输入!$B$9,IF(AG91&gt;0.000001,1,0),0)</f>
        <v>0</v>
      </c>
      <c r="AH92" s="1">
        <f>IF(AH$4&lt;=核心参数输入!$B$9,IF(AH91&gt;0.000001,1,0),0)</f>
        <v>0</v>
      </c>
    </row>
    <row r="93" spans="1:34" ht="21" customHeight="1">
      <c r="A93" s="11" t="s">
        <v>215</v>
      </c>
      <c r="B93" s="11" t="s">
        <v>54</v>
      </c>
      <c r="D93" s="1">
        <f>IF(D$4&lt;=核心参数输入!$B$9,IF(AND(核心参数输入!$B$57&gt;0,D$4&gt;=核心参数输入!$B$60,D$4&lt;=$B$87),MIN(D90+D91,核心参数输入!$B$57/MAX(1,$B$88)),0),0)</f>
        <v>0</v>
      </c>
      <c r="E93" s="1">
        <f>IF(E$4&lt;=核心参数输入!$B$9,IF(AND(核心参数输入!$B$57&gt;0,E$4&gt;=核心参数输入!$B$60,E$4&lt;=$B$87),MIN(E90+E91,核心参数输入!$B$57/MAX(1,$B$88)),0),0)</f>
        <v>0</v>
      </c>
      <c r="F93" s="1">
        <f>IF(F$4&lt;=核心参数输入!$B$9,IF(AND(核心参数输入!$B$57&gt;0,F$4&gt;=核心参数输入!$B$60,F$4&lt;=$B$87),MIN(F90+F91,核心参数输入!$B$57/MAX(1,$B$88)),0),0)</f>
        <v>0</v>
      </c>
      <c r="G93" s="1">
        <f>IF(G$4&lt;=核心参数输入!$B$9,IF(AND(核心参数输入!$B$57&gt;0,G$4&gt;=核心参数输入!$B$60,G$4&lt;=$B$87),MIN(G90+G91,核心参数输入!$B$57/MAX(1,$B$88)),0),0)</f>
        <v>0</v>
      </c>
      <c r="H93" s="1">
        <f>IF(H$4&lt;=核心参数输入!$B$9,IF(AND(核心参数输入!$B$57&gt;0,H$4&gt;=核心参数输入!$B$60,H$4&lt;=$B$87),MIN(H90+H91,核心参数输入!$B$57/MAX(1,$B$88)),0),0)</f>
        <v>4285.7142857142853</v>
      </c>
      <c r="I93" s="1">
        <f>IF(I$4&lt;=核心参数输入!$B$9,IF(AND(核心参数输入!$B$57&gt;0,I$4&gt;=核心参数输入!$B$60,I$4&lt;=$B$87),MIN(I90+I91,核心参数输入!$B$57/MAX(1,$B$88)),0),0)</f>
        <v>4285.7142857142853</v>
      </c>
      <c r="J93" s="1">
        <f>IF(J$4&lt;=核心参数输入!$B$9,IF(AND(核心参数输入!$B$57&gt;0,J$4&gt;=核心参数输入!$B$60,J$4&lt;=$B$87),MIN(J90+J91,核心参数输入!$B$57/MAX(1,$B$88)),0),0)</f>
        <v>4285.7142857142853</v>
      </c>
      <c r="K93" s="1">
        <f>IF(K$4&lt;=核心参数输入!$B$9,IF(AND(核心参数输入!$B$57&gt;0,K$4&gt;=核心参数输入!$B$60,K$4&lt;=$B$87),MIN(K90+K91,核心参数输入!$B$57/MAX(1,$B$88)),0),0)</f>
        <v>4285.7142857142853</v>
      </c>
      <c r="L93" s="1">
        <f>IF(L$4&lt;=核心参数输入!$B$9,IF(AND(核心参数输入!$B$57&gt;0,L$4&gt;=核心参数输入!$B$60,L$4&lt;=$B$87),MIN(L90+L91,核心参数输入!$B$57/MAX(1,$B$88)),0),0)</f>
        <v>4285.7142857142853</v>
      </c>
      <c r="M93" s="1">
        <f>IF(M$4&lt;=核心参数输入!$B$9,IF(AND(核心参数输入!$B$57&gt;0,M$4&gt;=核心参数输入!$B$60,M$4&lt;=$B$87),MIN(M90+M91,核心参数输入!$B$57/MAX(1,$B$88)),0),0)</f>
        <v>4285.7142857142853</v>
      </c>
      <c r="N93" s="1">
        <f>IF(N$4&lt;=核心参数输入!$B$9,IF(AND(核心参数输入!$B$57&gt;0,N$4&gt;=核心参数输入!$B$60,N$4&lt;=$B$87),MIN(N90+N91,核心参数输入!$B$57/MAX(1,$B$88)),0),0)</f>
        <v>4285.7142857142835</v>
      </c>
      <c r="O93" s="1">
        <f>IF(O$4&lt;=核心参数输入!$B$9,IF(AND(核心参数输入!$B$57&gt;0,O$4&gt;=核心参数输入!$B$60,O$4&lt;=$B$87),MIN(O90+O91,核心参数输入!$B$57/MAX(1,$B$88)),0),0)</f>
        <v>0</v>
      </c>
      <c r="P93" s="1">
        <f>IF(P$4&lt;=核心参数输入!$B$9,IF(AND(核心参数输入!$B$57&gt;0,P$4&gt;=核心参数输入!$B$60,P$4&lt;=$B$87),MIN(P90+P91,核心参数输入!$B$57/MAX(1,$B$88)),0),0)</f>
        <v>0</v>
      </c>
      <c r="Q93" s="1">
        <f>IF(Q$4&lt;=核心参数输入!$B$9,IF(AND(核心参数输入!$B$57&gt;0,Q$4&gt;=核心参数输入!$B$60,Q$4&lt;=$B$87),MIN(Q90+Q91,核心参数输入!$B$57/MAX(1,$B$88)),0),0)</f>
        <v>0</v>
      </c>
      <c r="R93" s="1">
        <f>IF(R$4&lt;=核心参数输入!$B$9,IF(AND(核心参数输入!$B$57&gt;0,R$4&gt;=核心参数输入!$B$60,R$4&lt;=$B$87),MIN(R90+R91,核心参数输入!$B$57/MAX(1,$B$88)),0),0)</f>
        <v>0</v>
      </c>
      <c r="S93" s="1">
        <f>IF(S$4&lt;=核心参数输入!$B$9,IF(AND(核心参数输入!$B$57&gt;0,S$4&gt;=核心参数输入!$B$60,S$4&lt;=$B$87),MIN(S90+S91,核心参数输入!$B$57/MAX(1,$B$88)),0),0)</f>
        <v>0</v>
      </c>
      <c r="T93" s="1">
        <f>IF(T$4&lt;=核心参数输入!$B$9,IF(AND(核心参数输入!$B$57&gt;0,T$4&gt;=核心参数输入!$B$60,T$4&lt;=$B$87),MIN(T90+T91,核心参数输入!$B$57/MAX(1,$B$88)),0),0)</f>
        <v>0</v>
      </c>
      <c r="U93" s="1">
        <f>IF(U$4&lt;=核心参数输入!$B$9,IF(AND(核心参数输入!$B$57&gt;0,U$4&gt;=核心参数输入!$B$60,U$4&lt;=$B$87),MIN(U90+U91,核心参数输入!$B$57/MAX(1,$B$88)),0),0)</f>
        <v>0</v>
      </c>
      <c r="V93" s="1">
        <f>IF(V$4&lt;=核心参数输入!$B$9,IF(AND(核心参数输入!$B$57&gt;0,V$4&gt;=核心参数输入!$B$60,V$4&lt;=$B$87),MIN(V90+V91,核心参数输入!$B$57/MAX(1,$B$88)),0),0)</f>
        <v>0</v>
      </c>
      <c r="W93" s="1">
        <f>IF(W$4&lt;=核心参数输入!$B$9,IF(AND(核心参数输入!$B$57&gt;0,W$4&gt;=核心参数输入!$B$60,W$4&lt;=$B$87),MIN(W90+W91,核心参数输入!$B$57/MAX(1,$B$88)),0),0)</f>
        <v>0</v>
      </c>
      <c r="X93" s="1">
        <f>IF(X$4&lt;=核心参数输入!$B$9,IF(AND(核心参数输入!$B$57&gt;0,X$4&gt;=核心参数输入!$B$60,X$4&lt;=$B$87),MIN(X90+X91,核心参数输入!$B$57/MAX(1,$B$88)),0),0)</f>
        <v>0</v>
      </c>
      <c r="Y93" s="1">
        <f>IF(Y$4&lt;=核心参数输入!$B$9,IF(AND(核心参数输入!$B$57&gt;0,Y$4&gt;=核心参数输入!$B$60,Y$4&lt;=$B$87),MIN(Y90+Y91,核心参数输入!$B$57/MAX(1,$B$88)),0),0)</f>
        <v>0</v>
      </c>
      <c r="Z93" s="1">
        <f>IF(Z$4&lt;=核心参数输入!$B$9,IF(AND(核心参数输入!$B$57&gt;0,Z$4&gt;=核心参数输入!$B$60,Z$4&lt;=$B$87),MIN(Z90+Z91,核心参数输入!$B$57/MAX(1,$B$88)),0),0)</f>
        <v>0</v>
      </c>
      <c r="AA93" s="1">
        <f>IF(AA$4&lt;=核心参数输入!$B$9,IF(AND(核心参数输入!$B$57&gt;0,AA$4&gt;=核心参数输入!$B$60,AA$4&lt;=$B$87),MIN(AA90+AA91,核心参数输入!$B$57/MAX(1,$B$88)),0),0)</f>
        <v>0</v>
      </c>
      <c r="AB93" s="1">
        <f>IF(AB$4&lt;=核心参数输入!$B$9,IF(AND(核心参数输入!$B$57&gt;0,AB$4&gt;=核心参数输入!$B$60,AB$4&lt;=$B$87),MIN(AB90+AB91,核心参数输入!$B$57/MAX(1,$B$88)),0),0)</f>
        <v>0</v>
      </c>
      <c r="AC93" s="1">
        <f>IF(AC$4&lt;=核心参数输入!$B$9,IF(AND(核心参数输入!$B$57&gt;0,AC$4&gt;=核心参数输入!$B$60,AC$4&lt;=$B$87),MIN(AC90+AC91,核心参数输入!$B$57/MAX(1,$B$88)),0),0)</f>
        <v>0</v>
      </c>
      <c r="AD93" s="1">
        <f>IF(AD$4&lt;=核心参数输入!$B$9,IF(AND(核心参数输入!$B$57&gt;0,AD$4&gt;=核心参数输入!$B$60,AD$4&lt;=$B$87),MIN(AD90+AD91,核心参数输入!$B$57/MAX(1,$B$88)),0),0)</f>
        <v>0</v>
      </c>
      <c r="AE93" s="1">
        <f>IF(AE$4&lt;=核心参数输入!$B$9,IF(AND(核心参数输入!$B$57&gt;0,AE$4&gt;=核心参数输入!$B$60,AE$4&lt;=$B$87),MIN(AE90+AE91,核心参数输入!$B$57/MAX(1,$B$88)),0),0)</f>
        <v>0</v>
      </c>
      <c r="AF93" s="1">
        <f>IF(AF$4&lt;=核心参数输入!$B$9,IF(AND(核心参数输入!$B$57&gt;0,AF$4&gt;=核心参数输入!$B$60,AF$4&lt;=$B$87),MIN(AF90+AF91,核心参数输入!$B$57/MAX(1,$B$88)),0),0)</f>
        <v>0</v>
      </c>
      <c r="AG93" s="1">
        <f>IF(AG$4&lt;=核心参数输入!$B$9,IF(AND(核心参数输入!$B$57&gt;0,AG$4&gt;=核心参数输入!$B$60,AG$4&lt;=$B$87),MIN(AG90+AG91,核心参数输入!$B$57/MAX(1,$B$88)),0),0)</f>
        <v>0</v>
      </c>
      <c r="AH93" s="1">
        <f>IF(AH$4&lt;=核心参数输入!$B$9,IF(AND(核心参数输入!$B$57&gt;0,AH$4&gt;=核心参数输入!$B$60,AH$4&lt;=$B$87),MIN(AH90+AH91,核心参数输入!$B$57/MAX(1,$B$88)),0),0)</f>
        <v>0</v>
      </c>
    </row>
    <row r="94" spans="1:34" ht="21" customHeight="1">
      <c r="A94" s="11" t="s">
        <v>216</v>
      </c>
      <c r="B94" s="11" t="s">
        <v>54</v>
      </c>
      <c r="D94" s="1">
        <f>IF(D$4&lt;=核心参数输入!$B$9,MAX(0,D90+D91/2-D93/2)*核心参数输入!$B$58,0)</f>
        <v>0</v>
      </c>
      <c r="E94" s="1">
        <f>IF(E$4&lt;=核心参数输入!$B$9,MAX(0,E90+E91/2-E93/2)*核心参数输入!$B$58,0)</f>
        <v>189</v>
      </c>
      <c r="F94" s="1">
        <f>IF(F$4&lt;=核心参数输入!$B$9,MAX(0,F90+F91/2-F93/2)*核心参数输入!$B$58,0)</f>
        <v>630</v>
      </c>
      <c r="G94" s="1">
        <f>IF(G$4&lt;=核心参数输入!$B$9,MAX(0,G90+G91/2-G93/2)*核心参数输入!$B$58,0)</f>
        <v>1071</v>
      </c>
      <c r="H94" s="1">
        <f>IF(H$4&lt;=核心参数输入!$B$9,MAX(0,H90+H91/2-H93/2)*核心参数输入!$B$58,0)</f>
        <v>1170.0000000000002</v>
      </c>
      <c r="I94" s="1">
        <f>IF(I$4&lt;=核心参数输入!$B$9,MAX(0,I90+I91/2-I93/2)*核心参数输入!$B$58,0)</f>
        <v>990.00000000000011</v>
      </c>
      <c r="J94" s="1">
        <f>IF(J$4&lt;=核心参数输入!$B$9,MAX(0,J90+J91/2-J93/2)*核心参数输入!$B$58,0)</f>
        <v>810.00000000000011</v>
      </c>
      <c r="K94" s="1">
        <f>IF(K$4&lt;=核心参数输入!$B$9,MAX(0,K90+K91/2-K93/2)*核心参数输入!$B$58,0)</f>
        <v>630</v>
      </c>
      <c r="L94" s="1">
        <f>IF(L$4&lt;=核心参数输入!$B$9,MAX(0,L90+L91/2-L93/2)*核心参数输入!$B$58,0)</f>
        <v>449.99999999999994</v>
      </c>
      <c r="M94" s="1">
        <f>IF(M$4&lt;=核心参数输入!$B$9,MAX(0,M90+M91/2-M93/2)*核心参数输入!$B$58,0)</f>
        <v>269.99999999999989</v>
      </c>
      <c r="N94" s="1">
        <f>IF(N$4&lt;=核心参数输入!$B$9,MAX(0,N90+N91/2-N93/2)*核心参数输入!$B$58,0)</f>
        <v>89.999999999999957</v>
      </c>
      <c r="O94" s="1">
        <f>IF(O$4&lt;=核心参数输入!$B$9,MAX(0,O90+O91/2-O93/2)*核心参数输入!$B$58,0)</f>
        <v>0</v>
      </c>
      <c r="P94" s="1">
        <f>IF(P$4&lt;=核心参数输入!$B$9,MAX(0,P90+P91/2-P93/2)*核心参数输入!$B$58,0)</f>
        <v>0</v>
      </c>
      <c r="Q94" s="1">
        <f>IF(Q$4&lt;=核心参数输入!$B$9,MAX(0,Q90+Q91/2-Q93/2)*核心参数输入!$B$58,0)</f>
        <v>0</v>
      </c>
      <c r="R94" s="1">
        <f>IF(R$4&lt;=核心参数输入!$B$9,MAX(0,R90+R91/2-R93/2)*核心参数输入!$B$58,0)</f>
        <v>0</v>
      </c>
      <c r="S94" s="1">
        <f>IF(S$4&lt;=核心参数输入!$B$9,MAX(0,S90+S91/2-S93/2)*核心参数输入!$B$58,0)</f>
        <v>0</v>
      </c>
      <c r="T94" s="1">
        <f>IF(T$4&lt;=核心参数输入!$B$9,MAX(0,T90+T91/2-T93/2)*核心参数输入!$B$58,0)</f>
        <v>0</v>
      </c>
      <c r="U94" s="1">
        <f>IF(U$4&lt;=核心参数输入!$B$9,MAX(0,U90+U91/2-U93/2)*核心参数输入!$B$58,0)</f>
        <v>0</v>
      </c>
      <c r="V94" s="1">
        <f>IF(V$4&lt;=核心参数输入!$B$9,MAX(0,V90+V91/2-V93/2)*核心参数输入!$B$58,0)</f>
        <v>0</v>
      </c>
      <c r="W94" s="1">
        <f>IF(W$4&lt;=核心参数输入!$B$9,MAX(0,W90+W91/2-W93/2)*核心参数输入!$B$58,0)</f>
        <v>0</v>
      </c>
      <c r="X94" s="1">
        <f>IF(X$4&lt;=核心参数输入!$B$9,MAX(0,X90+X91/2-X93/2)*核心参数输入!$B$58,0)</f>
        <v>0</v>
      </c>
      <c r="Y94" s="1">
        <f>IF(Y$4&lt;=核心参数输入!$B$9,MAX(0,Y90+Y91/2-Y93/2)*核心参数输入!$B$58,0)</f>
        <v>0</v>
      </c>
      <c r="Z94" s="1">
        <f>IF(Z$4&lt;=核心参数输入!$B$9,MAX(0,Z90+Z91/2-Z93/2)*核心参数输入!$B$58,0)</f>
        <v>0</v>
      </c>
      <c r="AA94" s="1">
        <f>IF(AA$4&lt;=核心参数输入!$B$9,MAX(0,AA90+AA91/2-AA93/2)*核心参数输入!$B$58,0)</f>
        <v>0</v>
      </c>
      <c r="AB94" s="1">
        <f>IF(AB$4&lt;=核心参数输入!$B$9,MAX(0,AB90+AB91/2-AB93/2)*核心参数输入!$B$58,0)</f>
        <v>0</v>
      </c>
      <c r="AC94" s="1">
        <f>IF(AC$4&lt;=核心参数输入!$B$9,MAX(0,AC90+AC91/2-AC93/2)*核心参数输入!$B$58,0)</f>
        <v>0</v>
      </c>
      <c r="AD94" s="1">
        <f>IF(AD$4&lt;=核心参数输入!$B$9,MAX(0,AD90+AD91/2-AD93/2)*核心参数输入!$B$58,0)</f>
        <v>0</v>
      </c>
      <c r="AE94" s="1">
        <f>IF(AE$4&lt;=核心参数输入!$B$9,MAX(0,AE90+AE91/2-AE93/2)*核心参数输入!$B$58,0)</f>
        <v>0</v>
      </c>
      <c r="AF94" s="1">
        <f>IF(AF$4&lt;=核心参数输入!$B$9,MAX(0,AF90+AF91/2-AF93/2)*核心参数输入!$B$58,0)</f>
        <v>0</v>
      </c>
      <c r="AG94" s="1">
        <f>IF(AG$4&lt;=核心参数输入!$B$9,MAX(0,AG90+AG91/2-AG93/2)*核心参数输入!$B$58,0)</f>
        <v>0</v>
      </c>
      <c r="AH94" s="1">
        <f>IF(AH$4&lt;=核心参数输入!$B$9,MAX(0,AH90+AH91/2-AH93/2)*核心参数输入!$B$58,0)</f>
        <v>0</v>
      </c>
    </row>
    <row r="95" spans="1:34" ht="21" customHeight="1">
      <c r="A95" s="11" t="s">
        <v>217</v>
      </c>
      <c r="B95" s="11" t="s">
        <v>54</v>
      </c>
      <c r="D95" s="1">
        <f>IF(D$4&lt;=核心参数输入!$B$9,MAX(0,D90+D91-D93),0)</f>
        <v>0</v>
      </c>
      <c r="E95" s="1">
        <f>IF(E$4&lt;=核心参数输入!$B$9,MAX(0,E90+E91-E93),0)</f>
        <v>9000</v>
      </c>
      <c r="F95" s="1">
        <f>IF(F$4&lt;=核心参数输入!$B$9,MAX(0,F90+F91-F93),0)</f>
        <v>21000</v>
      </c>
      <c r="G95" s="1">
        <f>IF(G$4&lt;=核心参数输入!$B$9,MAX(0,G90+G91-G93),0)</f>
        <v>30000</v>
      </c>
      <c r="H95" s="1">
        <f>IF(H$4&lt;=核心参数输入!$B$9,MAX(0,H90+H91-H93),0)</f>
        <v>25714.285714285714</v>
      </c>
      <c r="I95" s="1">
        <f>IF(I$4&lt;=核心参数输入!$B$9,MAX(0,I90+I91-I93),0)</f>
        <v>21428.571428571428</v>
      </c>
      <c r="J95" s="1">
        <f>IF(J$4&lt;=核心参数输入!$B$9,MAX(0,J90+J91-J93),0)</f>
        <v>17142.857142857141</v>
      </c>
      <c r="K95" s="1">
        <f>IF(K$4&lt;=核心参数输入!$B$9,MAX(0,K90+K91-K93),0)</f>
        <v>12857.142857142855</v>
      </c>
      <c r="L95" s="1">
        <f>IF(L$4&lt;=核心参数输入!$B$9,MAX(0,L90+L91-L93),0)</f>
        <v>8571.4285714285688</v>
      </c>
      <c r="M95" s="1">
        <f>IF(M$4&lt;=核心参数输入!$B$9,MAX(0,M90+M91-M93),0)</f>
        <v>4285.7142857142835</v>
      </c>
      <c r="N95" s="1">
        <f>IF(N$4&lt;=核心参数输入!$B$9,MAX(0,N90+N91-N93),0)</f>
        <v>0</v>
      </c>
      <c r="O95" s="1">
        <f>IF(O$4&lt;=核心参数输入!$B$9,MAX(0,O90+O91-O93),0)</f>
        <v>0</v>
      </c>
      <c r="P95" s="1">
        <f>IF(P$4&lt;=核心参数输入!$B$9,MAX(0,P90+P91-P93),0)</f>
        <v>0</v>
      </c>
      <c r="Q95" s="1">
        <f>IF(Q$4&lt;=核心参数输入!$B$9,MAX(0,Q90+Q91-Q93),0)</f>
        <v>0</v>
      </c>
      <c r="R95" s="1">
        <f>IF(R$4&lt;=核心参数输入!$B$9,MAX(0,R90+R91-R93),0)</f>
        <v>0</v>
      </c>
      <c r="S95" s="1">
        <f>IF(S$4&lt;=核心参数输入!$B$9,MAX(0,S90+S91-S93),0)</f>
        <v>0</v>
      </c>
      <c r="T95" s="1">
        <f>IF(T$4&lt;=核心参数输入!$B$9,MAX(0,T90+T91-T93),0)</f>
        <v>0</v>
      </c>
      <c r="U95" s="1">
        <f>IF(U$4&lt;=核心参数输入!$B$9,MAX(0,U90+U91-U93),0)</f>
        <v>0</v>
      </c>
      <c r="V95" s="1">
        <f>IF(V$4&lt;=核心参数输入!$B$9,MAX(0,V90+V91-V93),0)</f>
        <v>0</v>
      </c>
      <c r="W95" s="1">
        <f>IF(W$4&lt;=核心参数输入!$B$9,MAX(0,W90+W91-W93),0)</f>
        <v>0</v>
      </c>
      <c r="X95" s="1">
        <f>IF(X$4&lt;=核心参数输入!$B$9,MAX(0,X90+X91-X93),0)</f>
        <v>0</v>
      </c>
      <c r="Y95" s="1">
        <f>IF(Y$4&lt;=核心参数输入!$B$9,MAX(0,Y90+Y91-Y93),0)</f>
        <v>0</v>
      </c>
      <c r="Z95" s="1">
        <f>IF(Z$4&lt;=核心参数输入!$B$9,MAX(0,Z90+Z91-Z93),0)</f>
        <v>0</v>
      </c>
      <c r="AA95" s="1">
        <f>IF(AA$4&lt;=核心参数输入!$B$9,MAX(0,AA90+AA91-AA93),0)</f>
        <v>0</v>
      </c>
      <c r="AB95" s="1">
        <f>IF(AB$4&lt;=核心参数输入!$B$9,MAX(0,AB90+AB91-AB93),0)</f>
        <v>0</v>
      </c>
      <c r="AC95" s="1">
        <f>IF(AC$4&lt;=核心参数输入!$B$9,MAX(0,AC90+AC91-AC93),0)</f>
        <v>0</v>
      </c>
      <c r="AD95" s="1">
        <f>IF(AD$4&lt;=核心参数输入!$B$9,MAX(0,AD90+AD91-AD93),0)</f>
        <v>0</v>
      </c>
      <c r="AE95" s="1">
        <f>IF(AE$4&lt;=核心参数输入!$B$9,MAX(0,AE90+AE91-AE93),0)</f>
        <v>0</v>
      </c>
      <c r="AF95" s="1">
        <f>IF(AF$4&lt;=核心参数输入!$B$9,MAX(0,AF90+AF91-AF93),0)</f>
        <v>0</v>
      </c>
      <c r="AG95" s="1">
        <f>IF(AG$4&lt;=核心参数输入!$B$9,MAX(0,AG90+AG91-AG93),0)</f>
        <v>0</v>
      </c>
      <c r="AH95" s="1">
        <f>IF(AH$4&lt;=核心参数输入!$B$9,MAX(0,AH90+AH91-AH93),0)</f>
        <v>0</v>
      </c>
    </row>
    <row r="96" spans="1:34" ht="21" customHeight="1">
      <c r="A96" s="11" t="s">
        <v>218</v>
      </c>
      <c r="B96" s="11" t="s">
        <v>54</v>
      </c>
      <c r="D96" s="1">
        <f>IF(D$4&lt;=核心参数输入!$B$9,IF(D$4&lt;=核心参数输入!$B$16,D94,0),0)</f>
        <v>0</v>
      </c>
      <c r="E96" s="1">
        <f>IF(E$4&lt;=核心参数输入!$B$9,IF(E$4&lt;=核心参数输入!$B$16,E94,0),0)</f>
        <v>189</v>
      </c>
      <c r="F96" s="1">
        <f>IF(F$4&lt;=核心参数输入!$B$9,IF(F$4&lt;=核心参数输入!$B$16,F94,0),0)</f>
        <v>630</v>
      </c>
      <c r="G96" s="1">
        <f>IF(G$4&lt;=核心参数输入!$B$9,IF(G$4&lt;=核心参数输入!$B$16,G94,0),0)</f>
        <v>1071</v>
      </c>
      <c r="H96" s="1">
        <f>IF(H$4&lt;=核心参数输入!$B$9,IF(H$4&lt;=核心参数输入!$B$16,H94,0),0)</f>
        <v>0</v>
      </c>
      <c r="I96" s="1">
        <f>IF(I$4&lt;=核心参数输入!$B$9,IF(I$4&lt;=核心参数输入!$B$16,I94,0),0)</f>
        <v>0</v>
      </c>
      <c r="J96" s="1">
        <f>IF(J$4&lt;=核心参数输入!$B$9,IF(J$4&lt;=核心参数输入!$B$16,J94,0),0)</f>
        <v>0</v>
      </c>
      <c r="K96" s="1">
        <f>IF(K$4&lt;=核心参数输入!$B$9,IF(K$4&lt;=核心参数输入!$B$16,K94,0),0)</f>
        <v>0</v>
      </c>
      <c r="L96" s="1">
        <f>IF(L$4&lt;=核心参数输入!$B$9,IF(L$4&lt;=核心参数输入!$B$16,L94,0),0)</f>
        <v>0</v>
      </c>
      <c r="M96" s="1">
        <f>IF(M$4&lt;=核心参数输入!$B$9,IF(M$4&lt;=核心参数输入!$B$16,M94,0),0)</f>
        <v>0</v>
      </c>
      <c r="N96" s="1">
        <f>IF(N$4&lt;=核心参数输入!$B$9,IF(N$4&lt;=核心参数输入!$B$16,N94,0),0)</f>
        <v>0</v>
      </c>
      <c r="O96" s="1">
        <f>IF(O$4&lt;=核心参数输入!$B$9,IF(O$4&lt;=核心参数输入!$B$16,O94,0),0)</f>
        <v>0</v>
      </c>
      <c r="P96" s="1">
        <f>IF(P$4&lt;=核心参数输入!$B$9,IF(P$4&lt;=核心参数输入!$B$16,P94,0),0)</f>
        <v>0</v>
      </c>
      <c r="Q96" s="1">
        <f>IF(Q$4&lt;=核心参数输入!$B$9,IF(Q$4&lt;=核心参数输入!$B$16,Q94,0),0)</f>
        <v>0</v>
      </c>
      <c r="R96" s="1">
        <f>IF(R$4&lt;=核心参数输入!$B$9,IF(R$4&lt;=核心参数输入!$B$16,R94,0),0)</f>
        <v>0</v>
      </c>
      <c r="S96" s="1">
        <f>IF(S$4&lt;=核心参数输入!$B$9,IF(S$4&lt;=核心参数输入!$B$16,S94,0),0)</f>
        <v>0</v>
      </c>
      <c r="T96" s="1">
        <f>IF(T$4&lt;=核心参数输入!$B$9,IF(T$4&lt;=核心参数输入!$B$16,T94,0),0)</f>
        <v>0</v>
      </c>
      <c r="U96" s="1">
        <f>IF(U$4&lt;=核心参数输入!$B$9,IF(U$4&lt;=核心参数输入!$B$16,U94,0),0)</f>
        <v>0</v>
      </c>
      <c r="V96" s="1">
        <f>IF(V$4&lt;=核心参数输入!$B$9,IF(V$4&lt;=核心参数输入!$B$16,V94,0),0)</f>
        <v>0</v>
      </c>
      <c r="W96" s="1">
        <f>IF(W$4&lt;=核心参数输入!$B$9,IF(W$4&lt;=核心参数输入!$B$16,W94,0),0)</f>
        <v>0</v>
      </c>
      <c r="X96" s="1">
        <f>IF(X$4&lt;=核心参数输入!$B$9,IF(X$4&lt;=核心参数输入!$B$16,X94,0),0)</f>
        <v>0</v>
      </c>
      <c r="Y96" s="1">
        <f>IF(Y$4&lt;=核心参数输入!$B$9,IF(Y$4&lt;=核心参数输入!$B$16,Y94,0),0)</f>
        <v>0</v>
      </c>
      <c r="Z96" s="1">
        <f>IF(Z$4&lt;=核心参数输入!$B$9,IF(Z$4&lt;=核心参数输入!$B$16,Z94,0),0)</f>
        <v>0</v>
      </c>
      <c r="AA96" s="1">
        <f>IF(AA$4&lt;=核心参数输入!$B$9,IF(AA$4&lt;=核心参数输入!$B$16,AA94,0),0)</f>
        <v>0</v>
      </c>
      <c r="AB96" s="1">
        <f>IF(AB$4&lt;=核心参数输入!$B$9,IF(AB$4&lt;=核心参数输入!$B$16,AB94,0),0)</f>
        <v>0</v>
      </c>
      <c r="AC96" s="1">
        <f>IF(AC$4&lt;=核心参数输入!$B$9,IF(AC$4&lt;=核心参数输入!$B$16,AC94,0),0)</f>
        <v>0</v>
      </c>
      <c r="AD96" s="1">
        <f>IF(AD$4&lt;=核心参数输入!$B$9,IF(AD$4&lt;=核心参数输入!$B$16,AD94,0),0)</f>
        <v>0</v>
      </c>
      <c r="AE96" s="1">
        <f>IF(AE$4&lt;=核心参数输入!$B$9,IF(AE$4&lt;=核心参数输入!$B$16,AE94,0),0)</f>
        <v>0</v>
      </c>
      <c r="AF96" s="1">
        <f>IF(AF$4&lt;=核心参数输入!$B$9,IF(AF$4&lt;=核心参数输入!$B$16,AF94,0),0)</f>
        <v>0</v>
      </c>
      <c r="AG96" s="1">
        <f>IF(AG$4&lt;=核心参数输入!$B$9,IF(AG$4&lt;=核心参数输入!$B$16,AG94,0),0)</f>
        <v>0</v>
      </c>
      <c r="AH96" s="1">
        <f>IF(AH$4&lt;=核心参数输入!$B$9,IF(AH$4&lt;=核心参数输入!$B$16,AH94,0),0)</f>
        <v>0</v>
      </c>
    </row>
    <row r="97" spans="1:34" ht="21" customHeight="1">
      <c r="A97" s="11" t="s">
        <v>219</v>
      </c>
      <c r="B97" s="11" t="s">
        <v>54</v>
      </c>
      <c r="D97" s="1">
        <f>IF(D$4&lt;=核心参数输入!$B$9,D94-D96,0)</f>
        <v>0</v>
      </c>
      <c r="E97" s="1">
        <f>IF(E$4&lt;=核心参数输入!$B$9,E94-E96,0)</f>
        <v>0</v>
      </c>
      <c r="F97" s="1">
        <f>IF(F$4&lt;=核心参数输入!$B$9,F94-F96,0)</f>
        <v>0</v>
      </c>
      <c r="G97" s="1">
        <f>IF(G$4&lt;=核心参数输入!$B$9,G94-G96,0)</f>
        <v>0</v>
      </c>
      <c r="H97" s="1">
        <f>IF(H$4&lt;=核心参数输入!$B$9,H94-H96,0)</f>
        <v>1170.0000000000002</v>
      </c>
      <c r="I97" s="1">
        <f>IF(I$4&lt;=核心参数输入!$B$9,I94-I96,0)</f>
        <v>990.00000000000011</v>
      </c>
      <c r="J97" s="1">
        <f>IF(J$4&lt;=核心参数输入!$B$9,J94-J96,0)</f>
        <v>810.00000000000011</v>
      </c>
      <c r="K97" s="1">
        <f>IF(K$4&lt;=核心参数输入!$B$9,K94-K96,0)</f>
        <v>630</v>
      </c>
      <c r="L97" s="1">
        <f>IF(L$4&lt;=核心参数输入!$B$9,L94-L96,0)</f>
        <v>449.99999999999994</v>
      </c>
      <c r="M97" s="1">
        <f>IF(M$4&lt;=核心参数输入!$B$9,M94-M96,0)</f>
        <v>269.99999999999989</v>
      </c>
      <c r="N97" s="1">
        <f>IF(N$4&lt;=核心参数输入!$B$9,N94-N96,0)</f>
        <v>89.999999999999957</v>
      </c>
      <c r="O97" s="1">
        <f>IF(O$4&lt;=核心参数输入!$B$9,O94-O96,0)</f>
        <v>0</v>
      </c>
      <c r="P97" s="1">
        <f>IF(P$4&lt;=核心参数输入!$B$9,P94-P96,0)</f>
        <v>0</v>
      </c>
      <c r="Q97" s="1">
        <f>IF(Q$4&lt;=核心参数输入!$B$9,Q94-Q96,0)</f>
        <v>0</v>
      </c>
      <c r="R97" s="1">
        <f>IF(R$4&lt;=核心参数输入!$B$9,R94-R96,0)</f>
        <v>0</v>
      </c>
      <c r="S97" s="1">
        <f>IF(S$4&lt;=核心参数输入!$B$9,S94-S96,0)</f>
        <v>0</v>
      </c>
      <c r="T97" s="1">
        <f>IF(T$4&lt;=核心参数输入!$B$9,T94-T96,0)</f>
        <v>0</v>
      </c>
      <c r="U97" s="1">
        <f>IF(U$4&lt;=核心参数输入!$B$9,U94-U96,0)</f>
        <v>0</v>
      </c>
      <c r="V97" s="1">
        <f>IF(V$4&lt;=核心参数输入!$B$9,V94-V96,0)</f>
        <v>0</v>
      </c>
      <c r="W97" s="1">
        <f>IF(W$4&lt;=核心参数输入!$B$9,W94-W96,0)</f>
        <v>0</v>
      </c>
      <c r="X97" s="1">
        <f>IF(X$4&lt;=核心参数输入!$B$9,X94-X96,0)</f>
        <v>0</v>
      </c>
      <c r="Y97" s="1">
        <f>IF(Y$4&lt;=核心参数输入!$B$9,Y94-Y96,0)</f>
        <v>0</v>
      </c>
      <c r="Z97" s="1">
        <f>IF(Z$4&lt;=核心参数输入!$B$9,Z94-Z96,0)</f>
        <v>0</v>
      </c>
      <c r="AA97" s="1">
        <f>IF(AA$4&lt;=核心参数输入!$B$9,AA94-AA96,0)</f>
        <v>0</v>
      </c>
      <c r="AB97" s="1">
        <f>IF(AB$4&lt;=核心参数输入!$B$9,AB94-AB96,0)</f>
        <v>0</v>
      </c>
      <c r="AC97" s="1">
        <f>IF(AC$4&lt;=核心参数输入!$B$9,AC94-AC96,0)</f>
        <v>0</v>
      </c>
      <c r="AD97" s="1">
        <f>IF(AD$4&lt;=核心参数输入!$B$9,AD94-AD96,0)</f>
        <v>0</v>
      </c>
      <c r="AE97" s="1">
        <f>IF(AE$4&lt;=核心参数输入!$B$9,AE94-AE96,0)</f>
        <v>0</v>
      </c>
      <c r="AF97" s="1">
        <f>IF(AF$4&lt;=核心参数输入!$B$9,AF94-AF96,0)</f>
        <v>0</v>
      </c>
      <c r="AG97" s="1">
        <f>IF(AG$4&lt;=核心参数输入!$B$9,AG94-AG96,0)</f>
        <v>0</v>
      </c>
      <c r="AH97" s="1">
        <f>IF(AH$4&lt;=核心参数输入!$B$9,AH94-AH96,0)</f>
        <v>0</v>
      </c>
    </row>
    <row r="98" spans="1:34" ht="21" customHeight="1">
      <c r="A98" s="11" t="s">
        <v>220</v>
      </c>
      <c r="B98" s="11" t="s">
        <v>54</v>
      </c>
      <c r="D98" s="1">
        <f>IF(D$4&lt;=核心参数输入!$B$9,D93+D94,0)</f>
        <v>0</v>
      </c>
      <c r="E98" s="1">
        <f>IF(E$4&lt;=核心参数输入!$B$9,E93+E94,0)</f>
        <v>189</v>
      </c>
      <c r="F98" s="1">
        <f>IF(F$4&lt;=核心参数输入!$B$9,F93+F94,0)</f>
        <v>630</v>
      </c>
      <c r="G98" s="1">
        <f>IF(G$4&lt;=核心参数输入!$B$9,G93+G94,0)</f>
        <v>1071</v>
      </c>
      <c r="H98" s="1">
        <f>IF(H$4&lt;=核心参数输入!$B$9,H93+H94,0)</f>
        <v>5455.7142857142853</v>
      </c>
      <c r="I98" s="1">
        <f>IF(I$4&lt;=核心参数输入!$B$9,I93+I94,0)</f>
        <v>5275.7142857142853</v>
      </c>
      <c r="J98" s="1">
        <f>IF(J$4&lt;=核心参数输入!$B$9,J93+J94,0)</f>
        <v>5095.7142857142853</v>
      </c>
      <c r="K98" s="1">
        <f>IF(K$4&lt;=核心参数输入!$B$9,K93+K94,0)</f>
        <v>4915.7142857142853</v>
      </c>
      <c r="L98" s="1">
        <f>IF(L$4&lt;=核心参数输入!$B$9,L93+L94,0)</f>
        <v>4735.7142857142853</v>
      </c>
      <c r="M98" s="1">
        <f>IF(M$4&lt;=核心参数输入!$B$9,M93+M94,0)</f>
        <v>4555.7142857142853</v>
      </c>
      <c r="N98" s="1">
        <f>IF(N$4&lt;=核心参数输入!$B$9,N93+N94,0)</f>
        <v>4375.7142857142835</v>
      </c>
      <c r="O98" s="1">
        <f>IF(O$4&lt;=核心参数输入!$B$9,O93+O94,0)</f>
        <v>0</v>
      </c>
      <c r="P98" s="1">
        <f>IF(P$4&lt;=核心参数输入!$B$9,P93+P94,0)</f>
        <v>0</v>
      </c>
      <c r="Q98" s="1">
        <f>IF(Q$4&lt;=核心参数输入!$B$9,Q93+Q94,0)</f>
        <v>0</v>
      </c>
      <c r="R98" s="1">
        <f>IF(R$4&lt;=核心参数输入!$B$9,R93+R94,0)</f>
        <v>0</v>
      </c>
      <c r="S98" s="1">
        <f>IF(S$4&lt;=核心参数输入!$B$9,S93+S94,0)</f>
        <v>0</v>
      </c>
      <c r="T98" s="1">
        <f>IF(T$4&lt;=核心参数输入!$B$9,T93+T94,0)</f>
        <v>0</v>
      </c>
      <c r="U98" s="1">
        <f>IF(U$4&lt;=核心参数输入!$B$9,U93+U94,0)</f>
        <v>0</v>
      </c>
      <c r="V98" s="1">
        <f>IF(V$4&lt;=核心参数输入!$B$9,V93+V94,0)</f>
        <v>0</v>
      </c>
      <c r="W98" s="1">
        <f>IF(W$4&lt;=核心参数输入!$B$9,W93+W94,0)</f>
        <v>0</v>
      </c>
      <c r="X98" s="1">
        <f>IF(X$4&lt;=核心参数输入!$B$9,X93+X94,0)</f>
        <v>0</v>
      </c>
      <c r="Y98" s="1">
        <f>IF(Y$4&lt;=核心参数输入!$B$9,Y93+Y94,0)</f>
        <v>0</v>
      </c>
      <c r="Z98" s="1">
        <f>IF(Z$4&lt;=核心参数输入!$B$9,Z93+Z94,0)</f>
        <v>0</v>
      </c>
      <c r="AA98" s="1">
        <f>IF(AA$4&lt;=核心参数输入!$B$9,AA93+AA94,0)</f>
        <v>0</v>
      </c>
      <c r="AB98" s="1">
        <f>IF(AB$4&lt;=核心参数输入!$B$9,AB93+AB94,0)</f>
        <v>0</v>
      </c>
      <c r="AC98" s="1">
        <f>IF(AC$4&lt;=核心参数输入!$B$9,AC93+AC94,0)</f>
        <v>0</v>
      </c>
      <c r="AD98" s="1">
        <f>IF(AD$4&lt;=核心参数输入!$B$9,AD93+AD94,0)</f>
        <v>0</v>
      </c>
      <c r="AE98" s="1">
        <f>IF(AE$4&lt;=核心参数输入!$B$9,AE93+AE94,0)</f>
        <v>0</v>
      </c>
      <c r="AF98" s="1">
        <f>IF(AF$4&lt;=核心参数输入!$B$9,AF93+AF94,0)</f>
        <v>0</v>
      </c>
      <c r="AG98" s="1">
        <f>IF(AG$4&lt;=核心参数输入!$B$9,AG93+AG94,0)</f>
        <v>0</v>
      </c>
      <c r="AH98" s="1">
        <f>IF(AH$4&lt;=核心参数输入!$B$9,AH93+AH94,0)</f>
        <v>0</v>
      </c>
    </row>
    <row r="99" spans="1:34" ht="21" customHeight="1">
      <c r="A99" s="11" t="s">
        <v>221</v>
      </c>
      <c r="B99" s="11" t="s">
        <v>54</v>
      </c>
      <c r="D99" s="1">
        <f>IF(D$4&lt;=核心参数输入!$B$9,IF(D$4=$B$87,D95,0),0)</f>
        <v>0</v>
      </c>
      <c r="E99" s="1">
        <f>IF(E$4&lt;=核心参数输入!$B$9,IF(E$4=$B$87,E95,0),0)</f>
        <v>0</v>
      </c>
      <c r="F99" s="1">
        <f>IF(F$4&lt;=核心参数输入!$B$9,IF(F$4=$B$87,F95,0),0)</f>
        <v>0</v>
      </c>
      <c r="G99" s="1">
        <f>IF(G$4&lt;=核心参数输入!$B$9,IF(G$4=$B$87,G95,0),0)</f>
        <v>0</v>
      </c>
      <c r="H99" s="1">
        <f>IF(H$4&lt;=核心参数输入!$B$9,IF(H$4=$B$87,H95,0),0)</f>
        <v>0</v>
      </c>
      <c r="I99" s="1">
        <f>IF(I$4&lt;=核心参数输入!$B$9,IF(I$4=$B$87,I95,0),0)</f>
        <v>0</v>
      </c>
      <c r="J99" s="1">
        <f>IF(J$4&lt;=核心参数输入!$B$9,IF(J$4=$B$87,J95,0),0)</f>
        <v>0</v>
      </c>
      <c r="K99" s="1">
        <f>IF(K$4&lt;=核心参数输入!$B$9,IF(K$4=$B$87,K95,0),0)</f>
        <v>0</v>
      </c>
      <c r="L99" s="1">
        <f>IF(L$4&lt;=核心参数输入!$B$9,IF(L$4=$B$87,L95,0),0)</f>
        <v>0</v>
      </c>
      <c r="M99" s="1">
        <f>IF(M$4&lt;=核心参数输入!$B$9,IF(M$4=$B$87,M95,0),0)</f>
        <v>0</v>
      </c>
      <c r="N99" s="1">
        <f>IF(N$4&lt;=核心参数输入!$B$9,IF(N$4=$B$87,N95,0),0)</f>
        <v>0</v>
      </c>
      <c r="O99" s="1">
        <f>IF(O$4&lt;=核心参数输入!$B$9,IF(O$4=$B$87,O95,0),0)</f>
        <v>0</v>
      </c>
      <c r="P99" s="1">
        <f>IF(P$4&lt;=核心参数输入!$B$9,IF(P$4=$B$87,P95,0),0)</f>
        <v>0</v>
      </c>
      <c r="Q99" s="1">
        <f>IF(Q$4&lt;=核心参数输入!$B$9,IF(Q$4=$B$87,Q95,0),0)</f>
        <v>0</v>
      </c>
      <c r="R99" s="1">
        <f>IF(R$4&lt;=核心参数输入!$B$9,IF(R$4=$B$87,R95,0),0)</f>
        <v>0</v>
      </c>
      <c r="S99" s="1">
        <f>IF(S$4&lt;=核心参数输入!$B$9,IF(S$4=$B$87,S95,0),0)</f>
        <v>0</v>
      </c>
      <c r="T99" s="1">
        <f>IF(T$4&lt;=核心参数输入!$B$9,IF(T$4=$B$87,T95,0),0)</f>
        <v>0</v>
      </c>
      <c r="U99" s="1">
        <f>IF(U$4&lt;=核心参数输入!$B$9,IF(U$4=$B$87,U95,0),0)</f>
        <v>0</v>
      </c>
      <c r="V99" s="1">
        <f>IF(V$4&lt;=核心参数输入!$B$9,IF(V$4=$B$87,V95,0),0)</f>
        <v>0</v>
      </c>
      <c r="W99" s="1">
        <f>IF(W$4&lt;=核心参数输入!$B$9,IF(W$4=$B$87,W95,0),0)</f>
        <v>0</v>
      </c>
      <c r="X99" s="1">
        <f>IF(X$4&lt;=核心参数输入!$B$9,IF(X$4=$B$87,X95,0),0)</f>
        <v>0</v>
      </c>
      <c r="Y99" s="1">
        <f>IF(Y$4&lt;=核心参数输入!$B$9,IF(Y$4=$B$87,Y95,0),0)</f>
        <v>0</v>
      </c>
      <c r="Z99" s="1">
        <f>IF(Z$4&lt;=核心参数输入!$B$9,IF(Z$4=$B$87,Z95,0),0)</f>
        <v>0</v>
      </c>
      <c r="AA99" s="1">
        <f>IF(AA$4&lt;=核心参数输入!$B$9,IF(AA$4=$B$87,AA95,0),0)</f>
        <v>0</v>
      </c>
      <c r="AB99" s="1">
        <f>IF(AB$4&lt;=核心参数输入!$B$9,IF(AB$4=$B$87,AB95,0),0)</f>
        <v>0</v>
      </c>
      <c r="AC99" s="1">
        <f>IF(AC$4&lt;=核心参数输入!$B$9,IF(AC$4=$B$87,AC95,0),0)</f>
        <v>0</v>
      </c>
      <c r="AD99" s="1">
        <f>IF(AD$4&lt;=核心参数输入!$B$9,IF(AD$4=$B$87,AD95,0),0)</f>
        <v>0</v>
      </c>
      <c r="AE99" s="1">
        <f>IF(AE$4&lt;=核心参数输入!$B$9,IF(AE$4=$B$87,AE95,0),0)</f>
        <v>0</v>
      </c>
      <c r="AF99" s="1">
        <f>IF(AF$4&lt;=核心参数输入!$B$9,IF(AF$4=$B$87,AF95,0),0)</f>
        <v>0</v>
      </c>
      <c r="AG99" s="1">
        <f>IF(AG$4&lt;=核心参数输入!$B$9,IF(AG$4=$B$87,AG95,0),0)</f>
        <v>0</v>
      </c>
      <c r="AH99" s="1">
        <f>IF(AH$4&lt;=核心参数输入!$B$9,IF(AH$4=$B$87,AH95,0),0)</f>
        <v>0</v>
      </c>
    </row>
  </sheetData>
  <phoneticPr fontId="7" type="noConversion"/>
  <pageMargins left="0.25" right="0.25" top="0.4" bottom="0.4" header="0.3" footer="0.3"/>
  <pageSetup paperSize="9" scale="24" fitToHeight="0" orientation="landscape" r:id="rId1"/>
  <headerFooter>
    <oddFooter>&amp;L模拟数据 · 学习用途&amp;C&amp;P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AH146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48.75" style="11" customWidth="1"/>
    <col min="2" max="2" width="17.75" style="1" customWidth="1"/>
    <col min="3" max="3" width="12.75" style="11" customWidth="1"/>
    <col min="4" max="34" width="15.75" style="1" customWidth="1"/>
  </cols>
  <sheetData>
    <row r="2" spans="1:34" ht="29.1" customHeight="1">
      <c r="A2" s="2" t="s">
        <v>7</v>
      </c>
    </row>
    <row r="4" spans="1:34" ht="21" customHeight="1">
      <c r="A4" s="5" t="s">
        <v>162</v>
      </c>
      <c r="D4" s="5">
        <f>核心参数输入!D87</f>
        <v>0</v>
      </c>
      <c r="E4" s="5">
        <f>核心参数输入!E87</f>
        <v>1</v>
      </c>
      <c r="F4" s="5">
        <f>核心参数输入!F87</f>
        <v>2</v>
      </c>
      <c r="G4" s="5">
        <f>核心参数输入!G87</f>
        <v>3</v>
      </c>
      <c r="H4" s="5">
        <f>核心参数输入!H87</f>
        <v>4</v>
      </c>
      <c r="I4" s="5">
        <f>核心参数输入!I87</f>
        <v>5</v>
      </c>
      <c r="J4" s="5">
        <f>核心参数输入!J87</f>
        <v>6</v>
      </c>
      <c r="K4" s="5">
        <f>核心参数输入!K87</f>
        <v>7</v>
      </c>
      <c r="L4" s="5">
        <f>核心参数输入!L87</f>
        <v>8</v>
      </c>
      <c r="M4" s="5">
        <f>核心参数输入!M87</f>
        <v>9</v>
      </c>
      <c r="N4" s="5">
        <f>核心参数输入!N87</f>
        <v>10</v>
      </c>
      <c r="O4" s="5">
        <f>核心参数输入!O87</f>
        <v>11</v>
      </c>
      <c r="P4" s="5">
        <f>核心参数输入!P87</f>
        <v>12</v>
      </c>
      <c r="Q4" s="5">
        <f>核心参数输入!Q87</f>
        <v>13</v>
      </c>
      <c r="R4" s="5">
        <f>核心参数输入!R87</f>
        <v>14</v>
      </c>
      <c r="S4" s="5">
        <f>核心参数输入!S87</f>
        <v>15</v>
      </c>
      <c r="T4" s="5">
        <f>核心参数输入!T87</f>
        <v>16</v>
      </c>
      <c r="U4" s="5">
        <f>核心参数输入!U87</f>
        <v>17</v>
      </c>
      <c r="V4" s="5">
        <f>核心参数输入!V87</f>
        <v>18</v>
      </c>
      <c r="W4" s="5">
        <f>核心参数输入!W87</f>
        <v>19</v>
      </c>
      <c r="X4" s="5">
        <f>核心参数输入!X87</f>
        <v>20</v>
      </c>
      <c r="Y4" s="5">
        <f>核心参数输入!Y87</f>
        <v>21</v>
      </c>
      <c r="Z4" s="5">
        <f>核心参数输入!Z87</f>
        <v>22</v>
      </c>
      <c r="AA4" s="5">
        <f>核心参数输入!AA87</f>
        <v>23</v>
      </c>
      <c r="AB4" s="5">
        <f>核心参数输入!AB87</f>
        <v>24</v>
      </c>
      <c r="AC4" s="5">
        <f>核心参数输入!AC87</f>
        <v>25</v>
      </c>
      <c r="AD4" s="5">
        <f>核心参数输入!AD87</f>
        <v>26</v>
      </c>
      <c r="AE4" s="5">
        <f>核心参数输入!AE87</f>
        <v>27</v>
      </c>
      <c r="AF4" s="5">
        <f>核心参数输入!AF87</f>
        <v>28</v>
      </c>
      <c r="AG4" s="5">
        <f>核心参数输入!AG87</f>
        <v>29</v>
      </c>
      <c r="AH4" s="5">
        <f>核心参数输入!AH87</f>
        <v>30</v>
      </c>
    </row>
    <row r="5" spans="1:34" ht="21" customHeight="1">
      <c r="D5" s="12">
        <f>核心参数输入!$B$8+D4</f>
        <v>2026</v>
      </c>
      <c r="E5" s="12">
        <f>核心参数输入!$B$8+E4</f>
        <v>2027</v>
      </c>
      <c r="F5" s="12">
        <f>核心参数输入!$B$8+F4</f>
        <v>2028</v>
      </c>
      <c r="G5" s="12">
        <f>核心参数输入!$B$8+G4</f>
        <v>2029</v>
      </c>
      <c r="H5" s="12">
        <f>核心参数输入!$B$8+H4</f>
        <v>2030</v>
      </c>
      <c r="I5" s="12">
        <f>核心参数输入!$B$8+I4</f>
        <v>2031</v>
      </c>
      <c r="J5" s="12">
        <f>核心参数输入!$B$8+J4</f>
        <v>2032</v>
      </c>
      <c r="K5" s="12">
        <f>核心参数输入!$B$8+K4</f>
        <v>2033</v>
      </c>
      <c r="L5" s="12">
        <f>核心参数输入!$B$8+L4</f>
        <v>2034</v>
      </c>
      <c r="M5" s="12">
        <f>核心参数输入!$B$8+M4</f>
        <v>2035</v>
      </c>
      <c r="N5" s="12">
        <f>核心参数输入!$B$8+N4</f>
        <v>2036</v>
      </c>
      <c r="O5" s="12">
        <f>核心参数输入!$B$8+O4</f>
        <v>2037</v>
      </c>
      <c r="P5" s="12">
        <f>核心参数输入!$B$8+P4</f>
        <v>2038</v>
      </c>
      <c r="Q5" s="12">
        <f>核心参数输入!$B$8+Q4</f>
        <v>2039</v>
      </c>
      <c r="R5" s="12">
        <f>核心参数输入!$B$8+R4</f>
        <v>2040</v>
      </c>
      <c r="S5" s="12">
        <f>核心参数输入!$B$8+S4</f>
        <v>2041</v>
      </c>
      <c r="T5" s="12">
        <f>核心参数输入!$B$8+T4</f>
        <v>2042</v>
      </c>
      <c r="U5" s="12">
        <f>核心参数输入!$B$8+U4</f>
        <v>2043</v>
      </c>
      <c r="V5" s="12">
        <f>核心参数输入!$B$8+V4</f>
        <v>2044</v>
      </c>
      <c r="W5" s="12">
        <f>核心参数输入!$B$8+W4</f>
        <v>2045</v>
      </c>
      <c r="X5" s="12">
        <f>核心参数输入!$B$8+X4</f>
        <v>2046</v>
      </c>
      <c r="Y5" s="12">
        <f>核心参数输入!$B$8+Y4</f>
        <v>2047</v>
      </c>
      <c r="Z5" s="12">
        <f>核心参数输入!$B$8+Z4</f>
        <v>2048</v>
      </c>
      <c r="AA5" s="12">
        <f>核心参数输入!$B$8+AA4</f>
        <v>2049</v>
      </c>
      <c r="AB5" s="12">
        <f>核心参数输入!$B$8+AB4</f>
        <v>2050</v>
      </c>
      <c r="AC5" s="12">
        <f>核心参数输入!$B$8+AC4</f>
        <v>2051</v>
      </c>
      <c r="AD5" s="12">
        <f>核心参数输入!$B$8+AD4</f>
        <v>2052</v>
      </c>
      <c r="AE5" s="12">
        <f>核心参数输入!$B$8+AE4</f>
        <v>2053</v>
      </c>
      <c r="AF5" s="12">
        <f>核心参数输入!$B$8+AF4</f>
        <v>2054</v>
      </c>
      <c r="AG5" s="12">
        <f>核心参数输入!$B$8+AG4</f>
        <v>2055</v>
      </c>
      <c r="AH5" s="12">
        <f>核心参数输入!$B$8+AH4</f>
        <v>2056</v>
      </c>
    </row>
    <row r="7" spans="1:34" ht="24.95" customHeight="1">
      <c r="A7" s="15" t="s">
        <v>255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</row>
    <row r="10" spans="1:34" ht="21" customHeight="1">
      <c r="A10" s="11" t="s">
        <v>256</v>
      </c>
      <c r="B10" s="11" t="s">
        <v>54</v>
      </c>
      <c r="D10" s="1">
        <f>IF(D$4&lt;=核心参数输入!$B$9,销售与出租收入!D23,0)</f>
        <v>0</v>
      </c>
      <c r="E10" s="1">
        <f>IF(E$4&lt;=核心参数输入!$B$9,销售与出租收入!E23,0)</f>
        <v>0</v>
      </c>
      <c r="F10" s="1">
        <f>IF(F$4&lt;=核心参数输入!$B$9,销售与出租收入!F23,0)</f>
        <v>0</v>
      </c>
      <c r="G10" s="1">
        <f>IF(G$4&lt;=核心参数输入!$B$9,销售与出租收入!G23,0)</f>
        <v>0</v>
      </c>
      <c r="H10" s="1">
        <f>IF(H$4&lt;=核心参数输入!$B$9,销售与出租收入!H23,0)</f>
        <v>15210.137475</v>
      </c>
      <c r="I10" s="1">
        <f>IF(I$4&lt;=核心参数输入!$B$9,销售与出租收入!I23,0)</f>
        <v>20591.754364349999</v>
      </c>
      <c r="J10" s="1">
        <f>IF(J$4&lt;=核心参数输入!$B$9,销售与出租收入!J23,0)</f>
        <v>16111.319599769062</v>
      </c>
      <c r="K10" s="1">
        <f>IF(K$4&lt;=核心参数输入!$B$9,销售与出租收入!K23,0)</f>
        <v>1810.0173570362681</v>
      </c>
      <c r="L10" s="1">
        <f>IF(L$4&lt;=核心参数输入!$B$9,销售与出租收入!L23,0)</f>
        <v>1863.0432176367669</v>
      </c>
      <c r="M10" s="1">
        <f>IF(M$4&lt;=核心参数输入!$B$9,销售与出租收入!M23,0)</f>
        <v>1890.9888659013181</v>
      </c>
      <c r="N10" s="1">
        <f>IF(N$4&lt;=核心参数输入!$B$9,销售与出租收入!N23,0)</f>
        <v>1919.3536988898377</v>
      </c>
      <c r="O10" s="1">
        <f>IF(O$4&lt;=核心参数输入!$B$9,销售与出租收入!O23,0)</f>
        <v>1948.144004373185</v>
      </c>
      <c r="P10" s="1">
        <f>IF(P$4&lt;=核心参数输入!$B$9,销售与出租收入!P23,0)</f>
        <v>1977.3661644387826</v>
      </c>
      <c r="Q10" s="1">
        <f>IF(Q$4&lt;=核心参数输入!$B$9,销售与出租收入!Q23,0)</f>
        <v>2007.026656905364</v>
      </c>
      <c r="R10" s="1">
        <f>IF(R$4&lt;=核心参数输入!$B$9,销售与出租收入!R23,0)</f>
        <v>2037.1320567589441</v>
      </c>
      <c r="S10" s="1">
        <f>IF(S$4&lt;=核心参数输入!$B$9,销售与出租收入!S23,0)</f>
        <v>2067.6890376103279</v>
      </c>
      <c r="T10" s="1">
        <f>IF(T$4&lt;=核心参数输入!$B$9,销售与出租收入!T23,0)</f>
        <v>2098.7043731744825</v>
      </c>
      <c r="U10" s="1">
        <f>IF(U$4&lt;=核心参数输入!$B$9,销售与出租收入!U23,0)</f>
        <v>2130.1849387720999</v>
      </c>
      <c r="V10" s="1">
        <f>IF(V$4&lt;=核心参数输入!$B$9,销售与出租收入!V23,0)</f>
        <v>2162.137712853681</v>
      </c>
      <c r="W10" s="1">
        <f>IF(W$4&lt;=核心参数输入!$B$9,销售与出租收入!W23,0)</f>
        <v>2194.5697785464854</v>
      </c>
      <c r="X10" s="1">
        <f>IF(X$4&lt;=核心参数输入!$B$9,销售与出租收入!X23,0)</f>
        <v>2227.4883252246823</v>
      </c>
      <c r="Y10" s="1">
        <f>IF(Y$4&lt;=核心参数输入!$B$9,销售与出租收入!Y23,0)</f>
        <v>0</v>
      </c>
      <c r="Z10" s="1">
        <f>IF(Z$4&lt;=核心参数输入!$B$9,销售与出租收入!Z23,0)</f>
        <v>0</v>
      </c>
      <c r="AA10" s="1">
        <f>IF(AA$4&lt;=核心参数输入!$B$9,销售与出租收入!AA23,0)</f>
        <v>0</v>
      </c>
      <c r="AB10" s="1">
        <f>IF(AB$4&lt;=核心参数输入!$B$9,销售与出租收入!AB23,0)</f>
        <v>0</v>
      </c>
      <c r="AC10" s="1">
        <f>IF(AC$4&lt;=核心参数输入!$B$9,销售与出租收入!AC23,0)</f>
        <v>0</v>
      </c>
      <c r="AD10" s="1">
        <f>IF(AD$4&lt;=核心参数输入!$B$9,销售与出租收入!AD23,0)</f>
        <v>0</v>
      </c>
      <c r="AE10" s="1">
        <f>IF(AE$4&lt;=核心参数输入!$B$9,销售与出租收入!AE23,0)</f>
        <v>0</v>
      </c>
      <c r="AF10" s="1">
        <f>IF(AF$4&lt;=核心参数输入!$B$9,销售与出租收入!AF23,0)</f>
        <v>0</v>
      </c>
      <c r="AG10" s="1">
        <f>IF(AG$4&lt;=核心参数输入!$B$9,销售与出租收入!AG23,0)</f>
        <v>0</v>
      </c>
      <c r="AH10" s="1">
        <f>IF(AH$4&lt;=核心参数输入!$B$9,销售与出租收入!AH23,0)</f>
        <v>0</v>
      </c>
    </row>
    <row r="11" spans="1:34" ht="21" customHeight="1">
      <c r="A11" s="11" t="s">
        <v>257</v>
      </c>
      <c r="B11" s="11" t="s">
        <v>54</v>
      </c>
      <c r="D11" s="1">
        <f>IF(D$4&lt;=核心参数输入!$B$9,运营成本与税费!D16,0)</f>
        <v>0</v>
      </c>
      <c r="E11" s="1">
        <f>IF(E$4&lt;=核心参数输入!$B$9,运营成本与税费!E16,0)</f>
        <v>0</v>
      </c>
      <c r="F11" s="1">
        <f>IF(F$4&lt;=核心参数输入!$B$9,运营成本与税费!F16,0)</f>
        <v>0</v>
      </c>
      <c r="G11" s="1">
        <f>IF(G$4&lt;=核心参数输入!$B$9,运营成本与税费!G16,0)</f>
        <v>0</v>
      </c>
      <c r="H11" s="1">
        <f>IF(H$4&lt;=核心参数输入!$B$9,运营成本与税费!H16,0)</f>
        <v>2131.9184954999996</v>
      </c>
      <c r="I11" s="1">
        <f>IF(I$4&lt;=核心参数输入!$B$9,运营成本与税费!I16,0)</f>
        <v>2744.6407855830003</v>
      </c>
      <c r="J11" s="1">
        <f>IF(J$4&lt;=核心参数输入!$B$9,运营成本与税费!J16,0)</f>
        <v>2306.2512779584308</v>
      </c>
      <c r="K11" s="1">
        <f>IF(K$4&lt;=核心参数输入!$B$9,运营成本与税费!K16,0)</f>
        <v>824.16552426652822</v>
      </c>
      <c r="L11" s="1">
        <f>IF(L$4&lt;=核心参数输入!$B$9,运营成本与税费!L16,0)</f>
        <v>840.07742717461804</v>
      </c>
      <c r="M11" s="1">
        <f>IF(M$4&lt;=核心参数输入!$B$9,运营成本与税费!M16,0)</f>
        <v>851.60223682223727</v>
      </c>
      <c r="N11" s="1">
        <f>IF(N$4&lt;=核心参数输入!$B$9,运营成本与税费!N16,0)</f>
        <v>863.33239157937078</v>
      </c>
      <c r="O11" s="1">
        <f>IF(O$4&lt;=核心参数输入!$B$9,运营成本与税费!O16,0)</f>
        <v>875.27162108195716</v>
      </c>
      <c r="P11" s="1">
        <f>IF(P$4&lt;=核心参数输入!$B$9,运营成本与税费!P16,0)</f>
        <v>887.42372389966044</v>
      </c>
      <c r="Q11" s="1">
        <f>IF(Q$4&lt;=核心参数输入!$B$9,运营成本与税费!Q16,0)</f>
        <v>899.79256882965876</v>
      </c>
      <c r="R11" s="1">
        <f>IF(R$4&lt;=核心参数输入!$B$9,运营成本与税费!R16,0)</f>
        <v>912.38209621503711</v>
      </c>
      <c r="S11" s="1">
        <f>IF(S$4&lt;=核心参数输入!$B$9,运营成本与税费!S16,0)</f>
        <v>925.19631928825459</v>
      </c>
      <c r="T11" s="1">
        <f>IF(T$4&lt;=核心参数输入!$B$9,运营成本与税费!T16,0)</f>
        <v>938.2393255401704</v>
      </c>
      <c r="U11" s="1">
        <f>IF(U$4&lt;=核心参数输入!$B$9,运营成本与税费!U16,0)</f>
        <v>951.51527811511687</v>
      </c>
      <c r="V11" s="1">
        <f>IF(V$4&lt;=核心参数输入!$B$9,运营成本与税费!V16,0)</f>
        <v>965.02841723252436</v>
      </c>
      <c r="W11" s="1">
        <f>IF(W$4&lt;=核心参数输入!$B$9,运营成本与税费!W16,0)</f>
        <v>978.78306163560615</v>
      </c>
      <c r="X11" s="1">
        <f>IF(X$4&lt;=核心参数输入!$B$9,运营成本与税费!X16,0)</f>
        <v>992.78361006762646</v>
      </c>
      <c r="Y11" s="1">
        <f>IF(Y$4&lt;=核心参数输入!$B$9,运营成本与税费!Y16,0)</f>
        <v>0</v>
      </c>
      <c r="Z11" s="1">
        <f>IF(Z$4&lt;=核心参数输入!$B$9,运营成本与税费!Z16,0)</f>
        <v>0</v>
      </c>
      <c r="AA11" s="1">
        <f>IF(AA$4&lt;=核心参数输入!$B$9,运营成本与税费!AA16,0)</f>
        <v>0</v>
      </c>
      <c r="AB11" s="1">
        <f>IF(AB$4&lt;=核心参数输入!$B$9,运营成本与税费!AB16,0)</f>
        <v>0</v>
      </c>
      <c r="AC11" s="1">
        <f>IF(AC$4&lt;=核心参数输入!$B$9,运营成本与税费!AC16,0)</f>
        <v>0</v>
      </c>
      <c r="AD11" s="1">
        <f>IF(AD$4&lt;=核心参数输入!$B$9,运营成本与税费!AD16,0)</f>
        <v>0</v>
      </c>
      <c r="AE11" s="1">
        <f>IF(AE$4&lt;=核心参数输入!$B$9,运营成本与税费!AE16,0)</f>
        <v>0</v>
      </c>
      <c r="AF11" s="1">
        <f>IF(AF$4&lt;=核心参数输入!$B$9,运营成本与税费!AF16,0)</f>
        <v>0</v>
      </c>
      <c r="AG11" s="1">
        <f>IF(AG$4&lt;=核心参数输入!$B$9,运营成本与税费!AG16,0)</f>
        <v>0</v>
      </c>
      <c r="AH11" s="1">
        <f>IF(AH$4&lt;=核心参数输入!$B$9,运营成本与税费!AH16,0)</f>
        <v>0</v>
      </c>
    </row>
    <row r="12" spans="1:34" ht="21" customHeight="1">
      <c r="A12" s="11" t="s">
        <v>258</v>
      </c>
      <c r="B12" s="11" t="s">
        <v>54</v>
      </c>
      <c r="D12" s="1">
        <f>IF(D$4&lt;=核心参数输入!$B$9,D10-D11-运营成本与税费!D17-运营成本与税费!D19,0)</f>
        <v>0</v>
      </c>
      <c r="E12" s="1">
        <f>IF(E$4&lt;=核心参数输入!$B$9,E10-E11-运营成本与税费!E17-运营成本与税费!E19,0)</f>
        <v>0</v>
      </c>
      <c r="F12" s="1">
        <f>IF(F$4&lt;=核心参数输入!$B$9,F10-F11-运营成本与税费!F17-运营成本与税费!F19,0)</f>
        <v>0</v>
      </c>
      <c r="G12" s="1">
        <f>IF(G$4&lt;=核心参数输入!$B$9,G10-G11-运营成本与税费!G17-运营成本与税费!G19,0)</f>
        <v>0</v>
      </c>
      <c r="H12" s="1">
        <f>IF(H$4&lt;=核心参数输入!$B$9,H10-H11-运营成本与税费!H17-运营成本与税费!H19,0)</f>
        <v>2272.3089795000005</v>
      </c>
      <c r="I12" s="1">
        <f>IF(I$4&lt;=核心参数输入!$B$9,I10-I11-运营成本与税费!I17-运营成本与税费!I19,0)</f>
        <v>3690.603578766998</v>
      </c>
      <c r="J12" s="1">
        <f>IF(J$4&lt;=核心参数输入!$B$9,J10-J11-运营成本与税费!J17-运营成本与税费!J19,0)</f>
        <v>2999.1583218106325</v>
      </c>
      <c r="K12" s="1">
        <f>IF(K$4&lt;=核心参数输入!$B$9,K10-K11-运营成本与税费!K17-运营成本与税费!K19,0)</f>
        <v>231.74183276973997</v>
      </c>
      <c r="L12" s="1">
        <f>IF(L$4&lt;=核心参数输入!$B$9,L10-L11-运营成本与税费!L17-运营成本与税费!L19,0)</f>
        <v>268.855790462149</v>
      </c>
      <c r="M12" s="1">
        <f>IF(M$4&lt;=核心参数输入!$B$9,M10-M11-运营成本与税费!M17-运营成本与税费!M19,0)</f>
        <v>285.27662907908098</v>
      </c>
      <c r="N12" s="1">
        <f>IF(N$4&lt;=核心参数输入!$B$9,N10-N11-运营成本与税费!N17-运营成本与税费!N19,0)</f>
        <v>301.91130731046701</v>
      </c>
      <c r="O12" s="1">
        <f>IF(O$4&lt;=核心参数输入!$B$9,O10-O11-运营成本与税费!O17-运营成本与税费!O19,0)</f>
        <v>318.76238329122793</v>
      </c>
      <c r="P12" s="1">
        <f>IF(P$4&lt;=核心参数输入!$B$9,P10-P11-运营成本与税费!P17-运营成本与税费!P19,0)</f>
        <v>335.83244053912222</v>
      </c>
      <c r="Q12" s="1">
        <f>IF(Q$4&lt;=核心参数输入!$B$9,Q10-Q11-运营成本与税费!Q17-运营成本与税费!Q19,0)</f>
        <v>353.12408807570523</v>
      </c>
      <c r="R12" s="1">
        <f>IF(R$4&lt;=核心参数输入!$B$9,R10-R11-运营成本与税费!R17-运营成本与税费!R19,0)</f>
        <v>370.63996054390714</v>
      </c>
      <c r="S12" s="1">
        <f>IF(S$4&lt;=核心参数输入!$B$9,S10-S11-运营成本与税费!S17-运营成本与税费!S19,0)</f>
        <v>388.38271832207352</v>
      </c>
      <c r="T12" s="1">
        <f>IF(T$4&lt;=核心参数输入!$B$9,T10-T11-运营成本与税费!T17-运营成本与税费!T19,0)</f>
        <v>406.35504763431231</v>
      </c>
      <c r="U12" s="1">
        <f>IF(U$4&lt;=核心参数输入!$B$9,U10-U11-运营成本与税费!U17-运营成本与税费!U19,0)</f>
        <v>424.55966065698317</v>
      </c>
      <c r="V12" s="1">
        <f>IF(V$4&lt;=核心参数输入!$B$9,V10-V11-运营成本与税费!V17-运营成本与税费!V19,0)</f>
        <v>442.99929562115676</v>
      </c>
      <c r="W12" s="1">
        <f>IF(W$4&lt;=核心参数输入!$B$9,W10-W11-运营成本与税费!W17-运营成本与税费!W19,0)</f>
        <v>461.67671691087935</v>
      </c>
      <c r="X12" s="1">
        <f>IF(X$4&lt;=核心参数输入!$B$9,X10-X11-运营成本与税费!X17-运营成本与税费!X19,0)</f>
        <v>480.59471515705604</v>
      </c>
      <c r="Y12" s="1">
        <f>IF(Y$4&lt;=核心参数输入!$B$9,Y10-Y11-运营成本与税费!Y17-运营成本与税费!Y19,0)</f>
        <v>0</v>
      </c>
      <c r="Z12" s="1">
        <f>IF(Z$4&lt;=核心参数输入!$B$9,Z10-Z11-运营成本与税费!Z17-运营成本与税费!Z19,0)</f>
        <v>0</v>
      </c>
      <c r="AA12" s="1">
        <f>IF(AA$4&lt;=核心参数输入!$B$9,AA10-AA11-运营成本与税费!AA17-运营成本与税费!AA19,0)</f>
        <v>0</v>
      </c>
      <c r="AB12" s="1">
        <f>IF(AB$4&lt;=核心参数输入!$B$9,AB10-AB11-运营成本与税费!AB17-运营成本与税费!AB19,0)</f>
        <v>0</v>
      </c>
      <c r="AC12" s="1">
        <f>IF(AC$4&lt;=核心参数输入!$B$9,AC10-AC11-运营成本与税费!AC17-运营成本与税费!AC19,0)</f>
        <v>0</v>
      </c>
      <c r="AD12" s="1">
        <f>IF(AD$4&lt;=核心参数输入!$B$9,AD10-AD11-运营成本与税费!AD17-运营成本与税费!AD19,0)</f>
        <v>0</v>
      </c>
      <c r="AE12" s="1">
        <f>IF(AE$4&lt;=核心参数输入!$B$9,AE10-AE11-运营成本与税费!AE17-运营成本与税费!AE19,0)</f>
        <v>0</v>
      </c>
      <c r="AF12" s="1">
        <f>IF(AF$4&lt;=核心参数输入!$B$9,AF10-AF11-运营成本与税费!AF17-运营成本与税费!AF19,0)</f>
        <v>0</v>
      </c>
      <c r="AG12" s="1">
        <f>IF(AG$4&lt;=核心参数输入!$B$9,AG10-AG11-运营成本与税费!AG17-运营成本与税费!AG19,0)</f>
        <v>0</v>
      </c>
      <c r="AH12" s="1">
        <f>IF(AH$4&lt;=核心参数输入!$B$9,AH10-AH11-运营成本与税费!AH17-运营成本与税费!AH19,0)</f>
        <v>0</v>
      </c>
    </row>
    <row r="13" spans="1:34" ht="21" customHeight="1">
      <c r="A13" s="11" t="s">
        <v>259</v>
      </c>
      <c r="B13" s="11" t="s">
        <v>54</v>
      </c>
      <c r="D13" s="1">
        <f>IF(D$4&lt;=核心参数输入!$B$9,D10-D11-运营成本与税费!D18-运营成本与税费!D20,0)</f>
        <v>0</v>
      </c>
      <c r="E13" s="1">
        <f>IF(E$4&lt;=核心参数输入!$B$9,E10-E11-运营成本与税费!E18-运营成本与税费!E20,0)</f>
        <v>0</v>
      </c>
      <c r="F13" s="1">
        <f>IF(F$4&lt;=核心参数输入!$B$9,F10-F11-运营成本与税费!F18-运营成本与税费!F20,0)</f>
        <v>0</v>
      </c>
      <c r="G13" s="1">
        <f>IF(G$4&lt;=核心参数输入!$B$9,G10-G11-运营成本与税费!G18-运营成本与税费!G20,0)</f>
        <v>0</v>
      </c>
      <c r="H13" s="1">
        <f>IF(H$4&lt;=核心参数输入!$B$9,H10-H11-运营成本与税费!H18-运营成本与税费!H20,0)</f>
        <v>1933.5264795000001</v>
      </c>
      <c r="I13" s="1">
        <f>IF(I$4&lt;=核心参数输入!$B$9,I10-I11-运营成本与税费!I18-运营成本与税费!I20,0)</f>
        <v>3247.8710787669988</v>
      </c>
      <c r="J13" s="1">
        <f>IF(J$4&lt;=核心参数输入!$B$9,J10-J11-运营成本与税费!J18-运营成本与税费!J20,0)</f>
        <v>2660.3758218106323</v>
      </c>
      <c r="K13" s="1">
        <f>IF(K$4&lt;=核心参数输入!$B$9,K10-K11-运营成本与税费!K18-运营成本与税费!K20,0)</f>
        <v>204.80933276974008</v>
      </c>
      <c r="L13" s="1">
        <f>IF(L$4&lt;=核心参数输入!$B$9,L10-L11-运营成本与税费!L18-运营成本与税费!L20,0)</f>
        <v>241.92329046214911</v>
      </c>
      <c r="M13" s="1">
        <f>IF(M$4&lt;=核心参数输入!$B$9,M10-M11-运营成本与税费!M18-运营成本与税费!M20,0)</f>
        <v>258.34412907908109</v>
      </c>
      <c r="N13" s="1">
        <f>IF(N$4&lt;=核心参数输入!$B$9,N10-N11-运营成本与税费!N18-运营成本与税费!N20,0)</f>
        <v>274.97880731046712</v>
      </c>
      <c r="O13" s="1">
        <f>IF(O$4&lt;=核心参数输入!$B$9,O10-O11-运营成本与税费!O18-运营成本与税费!O20,0)</f>
        <v>291.82988329122804</v>
      </c>
      <c r="P13" s="1">
        <f>IF(P$4&lt;=核心参数输入!$B$9,P10-P11-运营成本与税费!P18-运营成本与税费!P20,0)</f>
        <v>308.89994053912233</v>
      </c>
      <c r="Q13" s="1">
        <f>IF(Q$4&lt;=核心参数输入!$B$9,Q10-Q11-运营成本与税费!Q18-运营成本与税费!Q20,0)</f>
        <v>326.19158807570534</v>
      </c>
      <c r="R13" s="1">
        <f>IF(R$4&lt;=核心参数输入!$B$9,R10-R11-运营成本与税费!R18-运营成本与税费!R20,0)</f>
        <v>343.70746054390725</v>
      </c>
      <c r="S13" s="1">
        <f>IF(S$4&lt;=核心参数输入!$B$9,S10-S11-运营成本与税费!S18-运营成本与税费!S20,0)</f>
        <v>361.45021832207362</v>
      </c>
      <c r="T13" s="1">
        <f>IF(T$4&lt;=核心参数输入!$B$9,T10-T11-运营成本与税费!T18-运营成本与税费!T20,0)</f>
        <v>379.42254763431242</v>
      </c>
      <c r="U13" s="1">
        <f>IF(U$4&lt;=核心参数输入!$B$9,U10-U11-运营成本与税费!U18-运营成本与税费!U20,0)</f>
        <v>397.62716065698328</v>
      </c>
      <c r="V13" s="1">
        <f>IF(V$4&lt;=核心参数输入!$B$9,V10-V11-运营成本与税费!V18-运营成本与税费!V20,0)</f>
        <v>416.06679562115687</v>
      </c>
      <c r="W13" s="1">
        <f>IF(W$4&lt;=核心参数输入!$B$9,W10-W11-运营成本与税费!W18-运营成本与税费!W20,0)</f>
        <v>434.74421691087946</v>
      </c>
      <c r="X13" s="1">
        <f>IF(X$4&lt;=核心参数输入!$B$9,X10-X11-运营成本与税费!X18-运营成本与税费!X20,0)</f>
        <v>453.66221515705615</v>
      </c>
      <c r="Y13" s="1">
        <f>IF(Y$4&lt;=核心参数输入!$B$9,Y10-Y11-运营成本与税费!Y18-运营成本与税费!Y20,0)</f>
        <v>0</v>
      </c>
      <c r="Z13" s="1">
        <f>IF(Z$4&lt;=核心参数输入!$B$9,Z10-Z11-运营成本与税费!Z18-运营成本与税费!Z20,0)</f>
        <v>0</v>
      </c>
      <c r="AA13" s="1">
        <f>IF(AA$4&lt;=核心参数输入!$B$9,AA10-AA11-运营成本与税费!AA18-运营成本与税费!AA20,0)</f>
        <v>0</v>
      </c>
      <c r="AB13" s="1">
        <f>IF(AB$4&lt;=核心参数输入!$B$9,AB10-AB11-运营成本与税费!AB18-运营成本与税费!AB20,0)</f>
        <v>0</v>
      </c>
      <c r="AC13" s="1">
        <f>IF(AC$4&lt;=核心参数输入!$B$9,AC10-AC11-运营成本与税费!AC18-运营成本与税费!AC20,0)</f>
        <v>0</v>
      </c>
      <c r="AD13" s="1">
        <f>IF(AD$4&lt;=核心参数输入!$B$9,AD10-AD11-运营成本与税费!AD18-运营成本与税费!AD20,0)</f>
        <v>0</v>
      </c>
      <c r="AE13" s="1">
        <f>IF(AE$4&lt;=核心参数输入!$B$9,AE10-AE11-运营成本与税费!AE18-运营成本与税费!AE20,0)</f>
        <v>0</v>
      </c>
      <c r="AF13" s="1">
        <f>IF(AF$4&lt;=核心参数输入!$B$9,AF10-AF11-运营成本与税费!AF18-运营成本与税费!AF20,0)</f>
        <v>0</v>
      </c>
      <c r="AG13" s="1">
        <f>IF(AG$4&lt;=核心参数输入!$B$9,AG10-AG11-运营成本与税费!AG18-运营成本与税费!AG20,0)</f>
        <v>0</v>
      </c>
      <c r="AH13" s="1">
        <f>IF(AH$4&lt;=核心参数输入!$B$9,AH10-AH11-运营成本与税费!AH18-运营成本与税费!AH20,0)</f>
        <v>0</v>
      </c>
    </row>
    <row r="14" spans="1:34" ht="21" customHeight="1">
      <c r="A14" s="11" t="s">
        <v>260</v>
      </c>
      <c r="B14" s="11" t="s">
        <v>54</v>
      </c>
      <c r="D14" s="1">
        <f>IF(D$4&lt;=核心参数输入!$B$9,融资与还本付息!D17,0)</f>
        <v>0</v>
      </c>
      <c r="E14" s="1">
        <f>IF(E$4&lt;=核心参数输入!$B$9,融资与还本付息!E17,0)</f>
        <v>0</v>
      </c>
      <c r="F14" s="1">
        <f>IF(F$4&lt;=核心参数输入!$B$9,融资与还本付息!F17,0)</f>
        <v>0</v>
      </c>
      <c r="G14" s="1">
        <f>IF(G$4&lt;=核心参数输入!$B$9,融资与还本付息!G17,0)</f>
        <v>0</v>
      </c>
      <c r="H14" s="1">
        <f>IF(H$4&lt;=核心参数输入!$B$9,融资与还本付息!H17,0)</f>
        <v>1170.0000000000002</v>
      </c>
      <c r="I14" s="1">
        <f>IF(I$4&lt;=核心参数输入!$B$9,融资与还本付息!I17,0)</f>
        <v>990.00000000000011</v>
      </c>
      <c r="J14" s="1">
        <f>IF(J$4&lt;=核心参数输入!$B$9,融资与还本付息!J17,0)</f>
        <v>810.00000000000011</v>
      </c>
      <c r="K14" s="1">
        <f>IF(K$4&lt;=核心参数输入!$B$9,融资与还本付息!K17,0)</f>
        <v>630</v>
      </c>
      <c r="L14" s="1">
        <f>IF(L$4&lt;=核心参数输入!$B$9,融资与还本付息!L17,0)</f>
        <v>449.99999999999994</v>
      </c>
      <c r="M14" s="1">
        <f>IF(M$4&lt;=核心参数输入!$B$9,融资与还本付息!M17,0)</f>
        <v>269.99999999999989</v>
      </c>
      <c r="N14" s="1">
        <f>IF(N$4&lt;=核心参数输入!$B$9,融资与还本付息!N17,0)</f>
        <v>89.999999999999957</v>
      </c>
      <c r="O14" s="1">
        <f>IF(O$4&lt;=核心参数输入!$B$9,融资与还本付息!O17,0)</f>
        <v>0</v>
      </c>
      <c r="P14" s="1">
        <f>IF(P$4&lt;=核心参数输入!$B$9,融资与还本付息!P17,0)</f>
        <v>0</v>
      </c>
      <c r="Q14" s="1">
        <f>IF(Q$4&lt;=核心参数输入!$B$9,融资与还本付息!Q17,0)</f>
        <v>0</v>
      </c>
      <c r="R14" s="1">
        <f>IF(R$4&lt;=核心参数输入!$B$9,融资与还本付息!R17,0)</f>
        <v>0</v>
      </c>
      <c r="S14" s="1">
        <f>IF(S$4&lt;=核心参数输入!$B$9,融资与还本付息!S17,0)</f>
        <v>0</v>
      </c>
      <c r="T14" s="1">
        <f>IF(T$4&lt;=核心参数输入!$B$9,融资与还本付息!T17,0)</f>
        <v>0</v>
      </c>
      <c r="U14" s="1">
        <f>IF(U$4&lt;=核心参数输入!$B$9,融资与还本付息!U17,0)</f>
        <v>0</v>
      </c>
      <c r="V14" s="1">
        <f>IF(V$4&lt;=核心参数输入!$B$9,融资与还本付息!V17,0)</f>
        <v>0</v>
      </c>
      <c r="W14" s="1">
        <f>IF(W$4&lt;=核心参数输入!$B$9,融资与还本付息!W17,0)</f>
        <v>0</v>
      </c>
      <c r="X14" s="1">
        <f>IF(X$4&lt;=核心参数输入!$B$9,融资与还本付息!X17,0)</f>
        <v>0</v>
      </c>
      <c r="Y14" s="1">
        <f>IF(Y$4&lt;=核心参数输入!$B$9,融资与还本付息!Y17,0)</f>
        <v>0</v>
      </c>
      <c r="Z14" s="1">
        <f>IF(Z$4&lt;=核心参数输入!$B$9,融资与还本付息!Z17,0)</f>
        <v>0</v>
      </c>
      <c r="AA14" s="1">
        <f>IF(AA$4&lt;=核心参数输入!$B$9,融资与还本付息!AA17,0)</f>
        <v>0</v>
      </c>
      <c r="AB14" s="1">
        <f>IF(AB$4&lt;=核心参数输入!$B$9,融资与还本付息!AB17,0)</f>
        <v>0</v>
      </c>
      <c r="AC14" s="1">
        <f>IF(AC$4&lt;=核心参数输入!$B$9,融资与还本付息!AC17,0)</f>
        <v>0</v>
      </c>
      <c r="AD14" s="1">
        <f>IF(AD$4&lt;=核心参数输入!$B$9,融资与还本付息!AD17,0)</f>
        <v>0</v>
      </c>
      <c r="AE14" s="1">
        <f>IF(AE$4&lt;=核心参数输入!$B$9,融资与还本付息!AE17,0)</f>
        <v>0</v>
      </c>
      <c r="AF14" s="1">
        <f>IF(AF$4&lt;=核心参数输入!$B$9,融资与还本付息!AF17,0)</f>
        <v>0</v>
      </c>
      <c r="AG14" s="1">
        <f>IF(AG$4&lt;=核心参数输入!$B$9,融资与还本付息!AG17,0)</f>
        <v>0</v>
      </c>
      <c r="AH14" s="1">
        <f>IF(AH$4&lt;=核心参数输入!$B$9,融资与还本付息!AH17,0)</f>
        <v>0</v>
      </c>
    </row>
    <row r="15" spans="1:34" ht="21" customHeight="1">
      <c r="A15" s="11" t="s">
        <v>261</v>
      </c>
      <c r="B15" s="11" t="s">
        <v>54</v>
      </c>
      <c r="D15" s="1">
        <f>IF(D$4&lt;=核心参数输入!$B$9,D13-D14,0)</f>
        <v>0</v>
      </c>
      <c r="E15" s="1">
        <f>IF(E$4&lt;=核心参数输入!$B$9,E13-E14,0)</f>
        <v>0</v>
      </c>
      <c r="F15" s="1">
        <f>IF(F$4&lt;=核心参数输入!$B$9,F13-F14,0)</f>
        <v>0</v>
      </c>
      <c r="G15" s="1">
        <f>IF(G$4&lt;=核心参数输入!$B$9,G13-G14,0)</f>
        <v>0</v>
      </c>
      <c r="H15" s="1">
        <f>IF(H$4&lt;=核心参数输入!$B$9,H13-H14,0)</f>
        <v>763.52647949999982</v>
      </c>
      <c r="I15" s="1">
        <f>IF(I$4&lt;=核心参数输入!$B$9,I13-I14,0)</f>
        <v>2257.8710787669988</v>
      </c>
      <c r="J15" s="1">
        <f>IF(J$4&lt;=核心参数输入!$B$9,J13-J14,0)</f>
        <v>1850.3758218106323</v>
      </c>
      <c r="K15" s="1">
        <f>IF(K$4&lt;=核心参数输入!$B$9,K13-K14,0)</f>
        <v>-425.19066723025992</v>
      </c>
      <c r="L15" s="1">
        <f>IF(L$4&lt;=核心参数输入!$B$9,L13-L14,0)</f>
        <v>-208.07670953785083</v>
      </c>
      <c r="M15" s="1">
        <f>IF(M$4&lt;=核心参数输入!$B$9,M13-M14,0)</f>
        <v>-11.655870920918801</v>
      </c>
      <c r="N15" s="1">
        <f>IF(N$4&lt;=核心参数输入!$B$9,N13-N14,0)</f>
        <v>184.97880731046718</v>
      </c>
      <c r="O15" s="1">
        <f>IF(O$4&lt;=核心参数输入!$B$9,O13-O14,0)</f>
        <v>291.82988329122804</v>
      </c>
      <c r="P15" s="1">
        <f>IF(P$4&lt;=核心参数输入!$B$9,P13-P14,0)</f>
        <v>308.89994053912233</v>
      </c>
      <c r="Q15" s="1">
        <f>IF(Q$4&lt;=核心参数输入!$B$9,Q13-Q14,0)</f>
        <v>326.19158807570534</v>
      </c>
      <c r="R15" s="1">
        <f>IF(R$4&lt;=核心参数输入!$B$9,R13-R14,0)</f>
        <v>343.70746054390725</v>
      </c>
      <c r="S15" s="1">
        <f>IF(S$4&lt;=核心参数输入!$B$9,S13-S14,0)</f>
        <v>361.45021832207362</v>
      </c>
      <c r="T15" s="1">
        <f>IF(T$4&lt;=核心参数输入!$B$9,T13-T14,0)</f>
        <v>379.42254763431242</v>
      </c>
      <c r="U15" s="1">
        <f>IF(U$4&lt;=核心参数输入!$B$9,U13-U14,0)</f>
        <v>397.62716065698328</v>
      </c>
      <c r="V15" s="1">
        <f>IF(V$4&lt;=核心参数输入!$B$9,V13-V14,0)</f>
        <v>416.06679562115687</v>
      </c>
      <c r="W15" s="1">
        <f>IF(W$4&lt;=核心参数输入!$B$9,W13-W14,0)</f>
        <v>434.74421691087946</v>
      </c>
      <c r="X15" s="1">
        <f>IF(X$4&lt;=核心参数输入!$B$9,X13-X14,0)</f>
        <v>453.66221515705615</v>
      </c>
      <c r="Y15" s="1">
        <f>IF(Y$4&lt;=核心参数输入!$B$9,Y13-Y14,0)</f>
        <v>0</v>
      </c>
      <c r="Z15" s="1">
        <f>IF(Z$4&lt;=核心参数输入!$B$9,Z13-Z14,0)</f>
        <v>0</v>
      </c>
      <c r="AA15" s="1">
        <f>IF(AA$4&lt;=核心参数输入!$B$9,AA13-AA14,0)</f>
        <v>0</v>
      </c>
      <c r="AB15" s="1">
        <f>IF(AB$4&lt;=核心参数输入!$B$9,AB13-AB14,0)</f>
        <v>0</v>
      </c>
      <c r="AC15" s="1">
        <f>IF(AC$4&lt;=核心参数输入!$B$9,AC13-AC14,0)</f>
        <v>0</v>
      </c>
      <c r="AD15" s="1">
        <f>IF(AD$4&lt;=核心参数输入!$B$9,AD13-AD14,0)</f>
        <v>0</v>
      </c>
      <c r="AE15" s="1">
        <f>IF(AE$4&lt;=核心参数输入!$B$9,AE13-AE14,0)</f>
        <v>0</v>
      </c>
      <c r="AF15" s="1">
        <f>IF(AF$4&lt;=核心参数输入!$B$9,AF13-AF14,0)</f>
        <v>0</v>
      </c>
      <c r="AG15" s="1">
        <f>IF(AG$4&lt;=核心参数输入!$B$9,AG13-AG14,0)</f>
        <v>0</v>
      </c>
      <c r="AH15" s="1">
        <f>IF(AH$4&lt;=核心参数输入!$B$9,AH13-AH14,0)</f>
        <v>0</v>
      </c>
    </row>
    <row r="16" spans="1:34" ht="21" customHeight="1">
      <c r="A16" s="11" t="s">
        <v>262</v>
      </c>
      <c r="B16" s="11" t="s">
        <v>54</v>
      </c>
      <c r="D16" s="1">
        <f>IF(D$4&lt;=核心参数输入!$B$9,MAX(0,D12+运营成本与税费!D24)*核心参数输入!$B$52,0)</f>
        <v>0</v>
      </c>
      <c r="E16" s="1">
        <f>IF(E$4&lt;=核心参数输入!$B$9,MAX(0,E12+运营成本与税费!E24)*核心参数输入!$B$52,0)</f>
        <v>0</v>
      </c>
      <c r="F16" s="1">
        <f>IF(F$4&lt;=核心参数输入!$B$9,MAX(0,F12+运营成本与税费!F24)*核心参数输入!$B$52,0)</f>
        <v>0</v>
      </c>
      <c r="G16" s="1">
        <f>IF(G$4&lt;=核心参数输入!$B$9,MAX(0,G12+运营成本与税费!G24)*核心参数输入!$B$52,0)</f>
        <v>0</v>
      </c>
      <c r="H16" s="1">
        <f>IF(H$4&lt;=核心参数输入!$B$9,MAX(0,H12+运营成本与税费!H24)*核心参数输入!$B$52,0)</f>
        <v>568.07724487500013</v>
      </c>
      <c r="I16" s="1">
        <f>IF(I$4&lt;=核心参数输入!$B$9,MAX(0,I12+运营成本与税费!I24)*核心参数输入!$B$52,0)</f>
        <v>922.6508946917495</v>
      </c>
      <c r="J16" s="1">
        <f>IF(J$4&lt;=核心参数输入!$B$9,MAX(0,J12+运营成本与税费!J24)*核心参数输入!$B$52,0)</f>
        <v>749.78958045265813</v>
      </c>
      <c r="K16" s="1">
        <f>IF(K$4&lt;=核心参数输入!$B$9,MAX(0,K12+运营成本与税费!K24)*核心参数输入!$B$52,0)</f>
        <v>57.935458192434993</v>
      </c>
      <c r="L16" s="1">
        <f>IF(L$4&lt;=核心参数输入!$B$9,MAX(0,L12+运营成本与税费!L24)*核心参数输入!$B$52,0)</f>
        <v>67.213947615537251</v>
      </c>
      <c r="M16" s="1">
        <f>IF(M$4&lt;=核心参数输入!$B$9,MAX(0,M12+运营成本与税费!M24)*核心参数输入!$B$52,0)</f>
        <v>71.319157269770244</v>
      </c>
      <c r="N16" s="1">
        <f>IF(N$4&lt;=核心参数输入!$B$9,MAX(0,N12+运营成本与税费!N24)*核心参数输入!$B$52,0)</f>
        <v>75.477826827616752</v>
      </c>
      <c r="O16" s="1">
        <f>IF(O$4&lt;=核心参数输入!$B$9,MAX(0,O12+运营成本与税费!O24)*核心参数输入!$B$52,0)</f>
        <v>79.690595822806984</v>
      </c>
      <c r="P16" s="1">
        <f>IF(P$4&lt;=核心参数输入!$B$9,MAX(0,P12+运营成本与税费!P24)*核心参数输入!$B$52,0)</f>
        <v>83.958110134780554</v>
      </c>
      <c r="Q16" s="1">
        <f>IF(Q$4&lt;=核心参数输入!$B$9,MAX(0,Q12+运营成本与税费!Q24)*核心参数输入!$B$52,0)</f>
        <v>88.281022018926308</v>
      </c>
      <c r="R16" s="1">
        <f>IF(R$4&lt;=核心参数输入!$B$9,MAX(0,R12+运营成本与税费!R24)*核心参数输入!$B$52,0)</f>
        <v>92.659990135976784</v>
      </c>
      <c r="S16" s="1">
        <f>IF(S$4&lt;=核心参数输入!$B$9,MAX(0,S12+运营成本与税费!S24)*核心参数输入!$B$52,0)</f>
        <v>97.095679580518379</v>
      </c>
      <c r="T16" s="1">
        <f>IF(T$4&lt;=核心参数输入!$B$9,MAX(0,T12+运营成本与税费!T24)*核心参数输入!$B$52,0)</f>
        <v>101.58876190857808</v>
      </c>
      <c r="U16" s="1">
        <f>IF(U$4&lt;=核心参数输入!$B$9,MAX(0,U12+运营成本与税费!U24)*核心参数输入!$B$52,0)</f>
        <v>106.13991516424579</v>
      </c>
      <c r="V16" s="1">
        <f>IF(V$4&lt;=核心参数输入!$B$9,MAX(0,V12+运营成本与税费!V24)*核心参数输入!$B$52,0)</f>
        <v>110.74982390528919</v>
      </c>
      <c r="W16" s="1">
        <f>IF(W$4&lt;=核心参数输入!$B$9,MAX(0,W12+运营成本与税费!W24)*核心参数输入!$B$52,0)</f>
        <v>115.41917922771984</v>
      </c>
      <c r="X16" s="1">
        <f>IF(X$4&lt;=核心参数输入!$B$9,MAX(0,X12+运营成本与税费!X24)*核心参数输入!$B$52,0)</f>
        <v>120.14867878926401</v>
      </c>
      <c r="Y16" s="1">
        <f>IF(Y$4&lt;=核心参数输入!$B$9,MAX(0,Y12+运营成本与税费!Y24)*核心参数输入!$B$52,0)</f>
        <v>0</v>
      </c>
      <c r="Z16" s="1">
        <f>IF(Z$4&lt;=核心参数输入!$B$9,MAX(0,Z12+运营成本与税费!Z24)*核心参数输入!$B$52,0)</f>
        <v>0</v>
      </c>
      <c r="AA16" s="1">
        <f>IF(AA$4&lt;=核心参数输入!$B$9,MAX(0,AA12+运营成本与税费!AA24)*核心参数输入!$B$52,0)</f>
        <v>0</v>
      </c>
      <c r="AB16" s="1">
        <f>IF(AB$4&lt;=核心参数输入!$B$9,MAX(0,AB12+运营成本与税费!AB24)*核心参数输入!$B$52,0)</f>
        <v>0</v>
      </c>
      <c r="AC16" s="1">
        <f>IF(AC$4&lt;=核心参数输入!$B$9,MAX(0,AC12+运营成本与税费!AC24)*核心参数输入!$B$52,0)</f>
        <v>0</v>
      </c>
      <c r="AD16" s="1">
        <f>IF(AD$4&lt;=核心参数输入!$B$9,MAX(0,AD12+运营成本与税费!AD24)*核心参数输入!$B$52,0)</f>
        <v>0</v>
      </c>
      <c r="AE16" s="1">
        <f>IF(AE$4&lt;=核心参数输入!$B$9,MAX(0,AE12+运营成本与税费!AE24)*核心参数输入!$B$52,0)</f>
        <v>0</v>
      </c>
      <c r="AF16" s="1">
        <f>IF(AF$4&lt;=核心参数输入!$B$9,MAX(0,AF12+运营成本与税费!AF24)*核心参数输入!$B$52,0)</f>
        <v>0</v>
      </c>
      <c r="AG16" s="1">
        <f>IF(AG$4&lt;=核心参数输入!$B$9,MAX(0,AG12+运营成本与税费!AG24)*核心参数输入!$B$52,0)</f>
        <v>0</v>
      </c>
      <c r="AH16" s="1">
        <f>IF(AH$4&lt;=核心参数输入!$B$9,MAX(0,AH12+运营成本与税费!AH24)*核心参数输入!$B$52,0)</f>
        <v>0</v>
      </c>
    </row>
    <row r="17" spans="1:34" ht="21" customHeight="1">
      <c r="A17" s="11" t="s">
        <v>263</v>
      </c>
      <c r="B17" s="11" t="s">
        <v>54</v>
      </c>
      <c r="D17" s="1">
        <f>IF(D$4&lt;=核心参数输入!$B$9,MAX(0,D15+运营成本与税费!D25)*核心参数输入!$B$52,0)</f>
        <v>0</v>
      </c>
      <c r="E17" s="1">
        <f>IF(E$4&lt;=核心参数输入!$B$9,MAX(0,E15+运营成本与税费!E25)*核心参数输入!$B$52,0)</f>
        <v>0</v>
      </c>
      <c r="F17" s="1">
        <f>IF(F$4&lt;=核心参数输入!$B$9,MAX(0,F15+运营成本与税费!F25)*核心参数输入!$B$52,0)</f>
        <v>0</v>
      </c>
      <c r="G17" s="1">
        <f>IF(G$4&lt;=核心参数输入!$B$9,MAX(0,G15+运营成本与税费!G25)*核心参数输入!$B$52,0)</f>
        <v>0</v>
      </c>
      <c r="H17" s="1">
        <f>IF(H$4&lt;=核心参数输入!$B$9,MAX(0,H15+运营成本与税费!H25)*核心参数输入!$B$52,0)</f>
        <v>190.88161987499996</v>
      </c>
      <c r="I17" s="1">
        <f>IF(I$4&lt;=核心参数输入!$B$9,MAX(0,I15+运营成本与税费!I25)*核心参数输入!$B$52,0)</f>
        <v>564.46776969174971</v>
      </c>
      <c r="J17" s="1">
        <f>IF(J$4&lt;=核心参数输入!$B$9,MAX(0,J15+运营成本与税费!J25)*核心参数输入!$B$52,0)</f>
        <v>462.59395545265807</v>
      </c>
      <c r="K17" s="1">
        <f>IF(K$4&lt;=核心参数输入!$B$9,MAX(0,K15+运营成本与税费!K25)*核心参数输入!$B$52,0)</f>
        <v>0</v>
      </c>
      <c r="L17" s="1">
        <f>IF(L$4&lt;=核心参数输入!$B$9,MAX(0,L15+运营成本与税费!L25)*核心参数输入!$B$52,0)</f>
        <v>0</v>
      </c>
      <c r="M17" s="1">
        <f>IF(M$4&lt;=核心参数输入!$B$9,MAX(0,M15+运营成本与税费!M25)*核心参数输入!$B$52,0)</f>
        <v>0</v>
      </c>
      <c r="N17" s="1">
        <f>IF(N$4&lt;=核心参数输入!$B$9,MAX(0,N15+运营成本与税费!N25)*核心参数输入!$B$52,0)</f>
        <v>46.244701827616794</v>
      </c>
      <c r="O17" s="1">
        <f>IF(O$4&lt;=核心参数输入!$B$9,MAX(0,O15+运营成本与税费!O25)*核心参数输入!$B$52,0)</f>
        <v>72.957470822807011</v>
      </c>
      <c r="P17" s="1">
        <f>IF(P$4&lt;=核心参数输入!$B$9,MAX(0,P15+运营成本与税费!P25)*核心参数输入!$B$52,0)</f>
        <v>77.224985134780582</v>
      </c>
      <c r="Q17" s="1">
        <f>IF(Q$4&lt;=核心参数输入!$B$9,MAX(0,Q15+运营成本与税费!Q25)*核心参数输入!$B$52,0)</f>
        <v>81.547897018926335</v>
      </c>
      <c r="R17" s="1">
        <f>IF(R$4&lt;=核心参数输入!$B$9,MAX(0,R15+运营成本与税费!R25)*核心参数输入!$B$52,0)</f>
        <v>85.926865135976811</v>
      </c>
      <c r="S17" s="1">
        <f>IF(S$4&lt;=核心参数输入!$B$9,MAX(0,S15+运营成本与税费!S25)*核心参数输入!$B$52,0)</f>
        <v>90.362554580518406</v>
      </c>
      <c r="T17" s="1">
        <f>IF(T$4&lt;=核心参数输入!$B$9,MAX(0,T15+运营成本与税费!T25)*核心参数输入!$B$52,0)</f>
        <v>94.855636908578106</v>
      </c>
      <c r="U17" s="1">
        <f>IF(U$4&lt;=核心参数输入!$B$9,MAX(0,U15+运营成本与税费!U25)*核心参数输入!$B$52,0)</f>
        <v>99.40679016424582</v>
      </c>
      <c r="V17" s="1">
        <f>IF(V$4&lt;=核心参数输入!$B$9,MAX(0,V15+运营成本与税费!V25)*核心参数输入!$B$52,0)</f>
        <v>104.01669890528922</v>
      </c>
      <c r="W17" s="1">
        <f>IF(W$4&lt;=核心参数输入!$B$9,MAX(0,W15+运营成本与税费!W25)*核心参数输入!$B$52,0)</f>
        <v>108.68605422771986</v>
      </c>
      <c r="X17" s="1">
        <f>IF(X$4&lt;=核心参数输入!$B$9,MAX(0,X15+运营成本与税费!X25)*核心参数输入!$B$52,0)</f>
        <v>113.41555378926404</v>
      </c>
      <c r="Y17" s="1">
        <f>IF(Y$4&lt;=核心参数输入!$B$9,MAX(0,Y15+运营成本与税费!Y25)*核心参数输入!$B$52,0)</f>
        <v>0</v>
      </c>
      <c r="Z17" s="1">
        <f>IF(Z$4&lt;=核心参数输入!$B$9,MAX(0,Z15+运营成本与税费!Z25)*核心参数输入!$B$52,0)</f>
        <v>0</v>
      </c>
      <c r="AA17" s="1">
        <f>IF(AA$4&lt;=核心参数输入!$B$9,MAX(0,AA15+运营成本与税费!AA25)*核心参数输入!$B$52,0)</f>
        <v>0</v>
      </c>
      <c r="AB17" s="1">
        <f>IF(AB$4&lt;=核心参数输入!$B$9,MAX(0,AB15+运营成本与税费!AB25)*核心参数输入!$B$52,0)</f>
        <v>0</v>
      </c>
      <c r="AC17" s="1">
        <f>IF(AC$4&lt;=核心参数输入!$B$9,MAX(0,AC15+运营成本与税费!AC25)*核心参数输入!$B$52,0)</f>
        <v>0</v>
      </c>
      <c r="AD17" s="1">
        <f>IF(AD$4&lt;=核心参数输入!$B$9,MAX(0,AD15+运营成本与税费!AD25)*核心参数输入!$B$52,0)</f>
        <v>0</v>
      </c>
      <c r="AE17" s="1">
        <f>IF(AE$4&lt;=核心参数输入!$B$9,MAX(0,AE15+运营成本与税费!AE25)*核心参数输入!$B$52,0)</f>
        <v>0</v>
      </c>
      <c r="AF17" s="1">
        <f>IF(AF$4&lt;=核心参数输入!$B$9,MAX(0,AF15+运营成本与税费!AF25)*核心参数输入!$B$52,0)</f>
        <v>0</v>
      </c>
      <c r="AG17" s="1">
        <f>IF(AG$4&lt;=核心参数输入!$B$9,MAX(0,AG15+运营成本与税费!AG25)*核心参数输入!$B$52,0)</f>
        <v>0</v>
      </c>
      <c r="AH17" s="1">
        <f>IF(AH$4&lt;=核心参数输入!$B$9,MAX(0,AH15+运营成本与税费!AH25)*核心参数输入!$B$52,0)</f>
        <v>0</v>
      </c>
    </row>
    <row r="18" spans="1:34" ht="21" customHeight="1">
      <c r="A18" s="11" t="s">
        <v>264</v>
      </c>
      <c r="B18" s="11" t="s">
        <v>54</v>
      </c>
      <c r="D18" s="1">
        <f>IF(D$4&lt;=核心参数输入!$B$9,D15+运营成本与税费!D25-D17,0)</f>
        <v>0</v>
      </c>
      <c r="E18" s="1">
        <f>IF(E$4&lt;=核心参数输入!$B$9,E15+运营成本与税费!E25-E17,0)</f>
        <v>0</v>
      </c>
      <c r="F18" s="1">
        <f>IF(F$4&lt;=核心参数输入!$B$9,F15+运营成本与税费!F25-F17,0)</f>
        <v>0</v>
      </c>
      <c r="G18" s="1">
        <f>IF(G$4&lt;=核心参数输入!$B$9,G15+运营成本与税费!G25-G17,0)</f>
        <v>0</v>
      </c>
      <c r="H18" s="1">
        <f>IF(H$4&lt;=核心参数输入!$B$9,H15+运营成本与税费!H25-H17,0)</f>
        <v>572.64485962499987</v>
      </c>
      <c r="I18" s="1">
        <f>IF(I$4&lt;=核心参数输入!$B$9,I15+运营成本与税费!I25-I17,0)</f>
        <v>1693.4033090752491</v>
      </c>
      <c r="J18" s="1">
        <f>IF(J$4&lt;=核心参数输入!$B$9,J15+运营成本与税费!J25-J17,0)</f>
        <v>1387.7818663579742</v>
      </c>
      <c r="K18" s="1">
        <f>IF(K$4&lt;=核心参数输入!$B$9,K15+运营成本与税费!K25-K17,0)</f>
        <v>-425.19066723025992</v>
      </c>
      <c r="L18" s="1">
        <f>IF(L$4&lt;=核心参数输入!$B$9,L15+运营成本与税费!L25-L17,0)</f>
        <v>-208.07670953785083</v>
      </c>
      <c r="M18" s="1">
        <f>IF(M$4&lt;=核心参数输入!$B$9,M15+运营成本与税费!M25-M17,0)</f>
        <v>-11.655870920918801</v>
      </c>
      <c r="N18" s="1">
        <f>IF(N$4&lt;=核心参数输入!$B$9,N15+运营成本与税费!N25-N17,0)</f>
        <v>138.7341054828504</v>
      </c>
      <c r="O18" s="1">
        <f>IF(O$4&lt;=核心参数输入!$B$9,O15+运营成本与税费!O25-O17,0)</f>
        <v>218.87241246842103</v>
      </c>
      <c r="P18" s="1">
        <f>IF(P$4&lt;=核心参数输入!$B$9,P15+运营成本与税费!P25-P17,0)</f>
        <v>231.67495540434174</v>
      </c>
      <c r="Q18" s="1">
        <f>IF(Q$4&lt;=核心参数输入!$B$9,Q15+运营成本与税费!Q25-Q17,0)</f>
        <v>244.64369105677901</v>
      </c>
      <c r="R18" s="1">
        <f>IF(R$4&lt;=核心参数输入!$B$9,R15+运营成本与税费!R25-R17,0)</f>
        <v>257.78059540793043</v>
      </c>
      <c r="S18" s="1">
        <f>IF(S$4&lt;=核心参数输入!$B$9,S15+运营成本与税费!S25-S17,0)</f>
        <v>271.08766374155522</v>
      </c>
      <c r="T18" s="1">
        <f>IF(T$4&lt;=核心参数输入!$B$9,T15+运营成本与税费!T25-T17,0)</f>
        <v>284.56691072573432</v>
      </c>
      <c r="U18" s="1">
        <f>IF(U$4&lt;=核心参数输入!$B$9,U15+运营成本与税费!U25-U17,0)</f>
        <v>298.22037049273746</v>
      </c>
      <c r="V18" s="1">
        <f>IF(V$4&lt;=核心参数输入!$B$9,V15+运营成本与税费!V25-V17,0)</f>
        <v>312.05009671586765</v>
      </c>
      <c r="W18" s="1">
        <f>IF(W$4&lt;=核心参数输入!$B$9,W15+运营成本与税费!W25-W17,0)</f>
        <v>326.05816268315959</v>
      </c>
      <c r="X18" s="1">
        <f>IF(X$4&lt;=核心参数输入!$B$9,X15+运营成本与税费!X25-X17,0)</f>
        <v>340.24666136779211</v>
      </c>
      <c r="Y18" s="1">
        <f>IF(Y$4&lt;=核心参数输入!$B$9,Y15+运营成本与税费!Y25-Y17,0)</f>
        <v>0</v>
      </c>
      <c r="Z18" s="1">
        <f>IF(Z$4&lt;=核心参数输入!$B$9,Z15+运营成本与税费!Z25-Z17,0)</f>
        <v>0</v>
      </c>
      <c r="AA18" s="1">
        <f>IF(AA$4&lt;=核心参数输入!$B$9,AA15+运营成本与税费!AA25-AA17,0)</f>
        <v>0</v>
      </c>
      <c r="AB18" s="1">
        <f>IF(AB$4&lt;=核心参数输入!$B$9,AB15+运营成本与税费!AB25-AB17,0)</f>
        <v>0</v>
      </c>
      <c r="AC18" s="1">
        <f>IF(AC$4&lt;=核心参数输入!$B$9,AC15+运营成本与税费!AC25-AC17,0)</f>
        <v>0</v>
      </c>
      <c r="AD18" s="1">
        <f>IF(AD$4&lt;=核心参数输入!$B$9,AD15+运营成本与税费!AD25-AD17,0)</f>
        <v>0</v>
      </c>
      <c r="AE18" s="1">
        <f>IF(AE$4&lt;=核心参数输入!$B$9,AE15+运营成本与税费!AE25-AE17,0)</f>
        <v>0</v>
      </c>
      <c r="AF18" s="1">
        <f>IF(AF$4&lt;=核心参数输入!$B$9,AF15+运营成本与税费!AF25-AF17,0)</f>
        <v>0</v>
      </c>
      <c r="AG18" s="1">
        <f>IF(AG$4&lt;=核心参数输入!$B$9,AG15+运营成本与税费!AG25-AG17,0)</f>
        <v>0</v>
      </c>
      <c r="AH18" s="1">
        <f>IF(AH$4&lt;=核心参数输入!$B$9,AH15+运营成本与税费!AH25-AH17,0)</f>
        <v>0</v>
      </c>
    </row>
    <row r="19" spans="1:34" ht="21" customHeight="1">
      <c r="A19" s="11" t="s">
        <v>265</v>
      </c>
      <c r="B19" s="11" t="s">
        <v>54</v>
      </c>
      <c r="D19" s="1">
        <f>IF(D$4&lt;=核心参数输入!$B$9,D10-D11-MAX(0,D15)*核心参数输入!$B$52,0)</f>
        <v>0</v>
      </c>
      <c r="E19" s="1">
        <f>IF(E$4&lt;=核心参数输入!$B$9,E10-E11-MAX(0,E15)*核心参数输入!$B$52,0)</f>
        <v>0</v>
      </c>
      <c r="F19" s="1">
        <f>IF(F$4&lt;=核心参数输入!$B$9,F10-F11-MAX(0,F15)*核心参数输入!$B$52,0)</f>
        <v>0</v>
      </c>
      <c r="G19" s="1">
        <f>IF(G$4&lt;=核心参数输入!$B$9,G10-G11-MAX(0,G15)*核心参数输入!$B$52,0)</f>
        <v>0</v>
      </c>
      <c r="H19" s="1">
        <f>IF(H$4&lt;=核心参数输入!$B$9,H10-H11-MAX(0,H15)*核心参数输入!$B$52,0)</f>
        <v>12887.337359625</v>
      </c>
      <c r="I19" s="1">
        <f>IF(I$4&lt;=核心参数输入!$B$9,I10-I11-MAX(0,I15)*核心参数输入!$B$52,0)</f>
        <v>17282.645809075249</v>
      </c>
      <c r="J19" s="1">
        <f>IF(J$4&lt;=核心参数输入!$B$9,J10-J11-MAX(0,J15)*核心参数输入!$B$52,0)</f>
        <v>13342.474366357974</v>
      </c>
      <c r="K19" s="1">
        <f>IF(K$4&lt;=核心参数输入!$B$9,K10-K11-MAX(0,K15)*核心参数输入!$B$52,0)</f>
        <v>985.85183276973987</v>
      </c>
      <c r="L19" s="1">
        <f>IF(L$4&lt;=核心参数输入!$B$9,L10-L11-MAX(0,L15)*核心参数输入!$B$52,0)</f>
        <v>1022.9657904621489</v>
      </c>
      <c r="M19" s="1">
        <f>IF(M$4&lt;=核心参数输入!$B$9,M10-M11-MAX(0,M15)*核心参数输入!$B$52,0)</f>
        <v>1039.3866290790809</v>
      </c>
      <c r="N19" s="1">
        <f>IF(N$4&lt;=核心参数输入!$B$9,N10-N11-MAX(0,N15)*核心参数输入!$B$52,0)</f>
        <v>1009.7766054828501</v>
      </c>
      <c r="O19" s="1">
        <f>IF(O$4&lt;=核心参数输入!$B$9,O10-O11-MAX(0,O15)*核心参数输入!$B$52,0)</f>
        <v>999.91491246842088</v>
      </c>
      <c r="P19" s="1">
        <f>IF(P$4&lt;=核心参数输入!$B$9,P10-P11-MAX(0,P15)*核心参数输入!$B$52,0)</f>
        <v>1012.7174554043415</v>
      </c>
      <c r="Q19" s="1">
        <f>IF(Q$4&lt;=核心参数输入!$B$9,Q10-Q11-MAX(0,Q15)*核心参数输入!$B$52,0)</f>
        <v>1025.6861910567789</v>
      </c>
      <c r="R19" s="1">
        <f>IF(R$4&lt;=核心参数输入!$B$9,R10-R11-MAX(0,R15)*核心参数输入!$B$52,0)</f>
        <v>1038.8230954079302</v>
      </c>
      <c r="S19" s="1">
        <f>IF(S$4&lt;=核心参数输入!$B$9,S10-S11-MAX(0,S15)*核心参数输入!$B$52,0)</f>
        <v>1052.130163741555</v>
      </c>
      <c r="T19" s="1">
        <f>IF(T$4&lt;=核心参数输入!$B$9,T10-T11-MAX(0,T15)*核心参数输入!$B$52,0)</f>
        <v>1065.6094107257341</v>
      </c>
      <c r="U19" s="1">
        <f>IF(U$4&lt;=核心参数输入!$B$9,U10-U11-MAX(0,U15)*核心参数输入!$B$52,0)</f>
        <v>1079.2628704927372</v>
      </c>
      <c r="V19" s="1">
        <f>IF(V$4&lt;=核心参数输入!$B$9,V10-V11-MAX(0,V15)*核心参数输入!$B$52,0)</f>
        <v>1093.0925967158673</v>
      </c>
      <c r="W19" s="1">
        <f>IF(W$4&lt;=核心参数输入!$B$9,W10-W11-MAX(0,W15)*核心参数输入!$B$52,0)</f>
        <v>1107.1006626831595</v>
      </c>
      <c r="X19" s="1">
        <f>IF(X$4&lt;=核心参数输入!$B$9,X10-X11-MAX(0,X15)*核心参数输入!$B$52,0)</f>
        <v>1121.2891613677918</v>
      </c>
      <c r="Y19" s="1">
        <f>IF(Y$4&lt;=核心参数输入!$B$9,Y10-Y11-MAX(0,Y15)*核心参数输入!$B$52,0)</f>
        <v>0</v>
      </c>
      <c r="Z19" s="1">
        <f>IF(Z$4&lt;=核心参数输入!$B$9,Z10-Z11-MAX(0,Z15)*核心参数输入!$B$52,0)</f>
        <v>0</v>
      </c>
      <c r="AA19" s="1">
        <f>IF(AA$4&lt;=核心参数输入!$B$9,AA10-AA11-MAX(0,AA15)*核心参数输入!$B$52,0)</f>
        <v>0</v>
      </c>
      <c r="AB19" s="1">
        <f>IF(AB$4&lt;=核心参数输入!$B$9,AB10-AB11-MAX(0,AB15)*核心参数输入!$B$52,0)</f>
        <v>0</v>
      </c>
      <c r="AC19" s="1">
        <f>IF(AC$4&lt;=核心参数输入!$B$9,AC10-AC11-MAX(0,AC15)*核心参数输入!$B$52,0)</f>
        <v>0</v>
      </c>
      <c r="AD19" s="1">
        <f>IF(AD$4&lt;=核心参数输入!$B$9,AD10-AD11-MAX(0,AD15)*核心参数输入!$B$52,0)</f>
        <v>0</v>
      </c>
      <c r="AE19" s="1">
        <f>IF(AE$4&lt;=核心参数输入!$B$9,AE10-AE11-MAX(0,AE15)*核心参数输入!$B$52,0)</f>
        <v>0</v>
      </c>
      <c r="AF19" s="1">
        <f>IF(AF$4&lt;=核心参数输入!$B$9,AF10-AF11-MAX(0,AF15)*核心参数输入!$B$52,0)</f>
        <v>0</v>
      </c>
      <c r="AG19" s="1">
        <f>IF(AG$4&lt;=核心参数输入!$B$9,AG10-AG11-MAX(0,AG15)*核心参数输入!$B$52,0)</f>
        <v>0</v>
      </c>
      <c r="AH19" s="1">
        <f>IF(AH$4&lt;=核心参数输入!$B$9,AH10-AH11-MAX(0,AH15)*核心参数输入!$B$52,0)</f>
        <v>0</v>
      </c>
    </row>
    <row r="20" spans="1:34" ht="21" customHeight="1">
      <c r="A20" s="11" t="s">
        <v>266</v>
      </c>
      <c r="B20" s="11" t="s">
        <v>54</v>
      </c>
      <c r="D20" s="1">
        <f>IF(D$4&lt;=核心参数输入!$B$9,D10-D11-MAX(0,D12)*核心参数输入!$B$52,0)</f>
        <v>0</v>
      </c>
      <c r="E20" s="1">
        <f>IF(E$4&lt;=核心参数输入!$B$9,E10-E11-MAX(0,E12)*核心参数输入!$B$52,0)</f>
        <v>0</v>
      </c>
      <c r="F20" s="1">
        <f>IF(F$4&lt;=核心参数输入!$B$9,F10-F11-MAX(0,F12)*核心参数输入!$B$52,0)</f>
        <v>0</v>
      </c>
      <c r="G20" s="1">
        <f>IF(G$4&lt;=核心参数输入!$B$9,G10-G11-MAX(0,G12)*核心参数输入!$B$52,0)</f>
        <v>0</v>
      </c>
      <c r="H20" s="1">
        <f>IF(H$4&lt;=核心参数输入!$B$9,H10-H11-MAX(0,H12)*核心参数输入!$B$52,0)</f>
        <v>12510.141734625</v>
      </c>
      <c r="I20" s="1">
        <f>IF(I$4&lt;=核心参数输入!$B$9,I10-I11-MAX(0,I12)*核心参数输入!$B$52,0)</f>
        <v>16924.46268407525</v>
      </c>
      <c r="J20" s="1">
        <f>IF(J$4&lt;=核心参数输入!$B$9,J10-J11-MAX(0,J12)*核心参数输入!$B$52,0)</f>
        <v>13055.278741357974</v>
      </c>
      <c r="K20" s="1">
        <f>IF(K$4&lt;=核心参数输入!$B$9,K10-K11-MAX(0,K12)*核心参数输入!$B$52,0)</f>
        <v>927.91637457730485</v>
      </c>
      <c r="L20" s="1">
        <f>IF(L$4&lt;=核心参数输入!$B$9,L10-L11-MAX(0,L12)*核心参数输入!$B$52,0)</f>
        <v>955.75184284661168</v>
      </c>
      <c r="M20" s="1">
        <f>IF(M$4&lt;=核心参数输入!$B$9,M10-M11-MAX(0,M12)*核心参数输入!$B$52,0)</f>
        <v>968.06747180931063</v>
      </c>
      <c r="N20" s="1">
        <f>IF(N$4&lt;=核心参数输入!$B$9,N10-N11-MAX(0,N12)*核心参数输入!$B$52,0)</f>
        <v>980.5434804828501</v>
      </c>
      <c r="O20" s="1">
        <f>IF(O$4&lt;=核心参数输入!$B$9,O10-O11-MAX(0,O12)*核心参数输入!$B$52,0)</f>
        <v>993.18178746842091</v>
      </c>
      <c r="P20" s="1">
        <f>IF(P$4&lt;=核心参数输入!$B$9,P10-P11-MAX(0,P12)*核心参数输入!$B$52,0)</f>
        <v>1005.9843304043416</v>
      </c>
      <c r="Q20" s="1">
        <f>IF(Q$4&lt;=核心参数输入!$B$9,Q10-Q11-MAX(0,Q12)*核心参数输入!$B$52,0)</f>
        <v>1018.9530660567789</v>
      </c>
      <c r="R20" s="1">
        <f>IF(R$4&lt;=核心参数输入!$B$9,R10-R11-MAX(0,R12)*核心参数输入!$B$52,0)</f>
        <v>1032.0899704079302</v>
      </c>
      <c r="S20" s="1">
        <f>IF(S$4&lt;=核心参数输入!$B$9,S10-S11-MAX(0,S12)*核心参数输入!$B$52,0)</f>
        <v>1045.397038741555</v>
      </c>
      <c r="T20" s="1">
        <f>IF(T$4&lt;=核心参数输入!$B$9,T10-T11-MAX(0,T12)*核心参数输入!$B$52,0)</f>
        <v>1058.8762857257341</v>
      </c>
      <c r="U20" s="1">
        <f>IF(U$4&lt;=核心参数输入!$B$9,U10-U11-MAX(0,U12)*核心参数输入!$B$52,0)</f>
        <v>1072.5297454927372</v>
      </c>
      <c r="V20" s="1">
        <f>IF(V$4&lt;=核心参数输入!$B$9,V10-V11-MAX(0,V12)*核心参数输入!$B$52,0)</f>
        <v>1086.3594717158676</v>
      </c>
      <c r="W20" s="1">
        <f>IF(W$4&lt;=核心参数输入!$B$9,W10-W11-MAX(0,W12)*核心参数输入!$B$52,0)</f>
        <v>1100.3675376831593</v>
      </c>
      <c r="X20" s="1">
        <f>IF(X$4&lt;=核心参数输入!$B$9,X10-X11-MAX(0,X12)*核心参数输入!$B$52,0)</f>
        <v>1114.5560363677919</v>
      </c>
      <c r="Y20" s="1">
        <f>IF(Y$4&lt;=核心参数输入!$B$9,Y10-Y11-MAX(0,Y12)*核心参数输入!$B$52,0)</f>
        <v>0</v>
      </c>
      <c r="Z20" s="1">
        <f>IF(Z$4&lt;=核心参数输入!$B$9,Z10-Z11-MAX(0,Z12)*核心参数输入!$B$52,0)</f>
        <v>0</v>
      </c>
      <c r="AA20" s="1">
        <f>IF(AA$4&lt;=核心参数输入!$B$9,AA10-AA11-MAX(0,AA12)*核心参数输入!$B$52,0)</f>
        <v>0</v>
      </c>
      <c r="AB20" s="1">
        <f>IF(AB$4&lt;=核心参数输入!$B$9,AB10-AB11-MAX(0,AB12)*核心参数输入!$B$52,0)</f>
        <v>0</v>
      </c>
      <c r="AC20" s="1">
        <f>IF(AC$4&lt;=核心参数输入!$B$9,AC10-AC11-MAX(0,AC12)*核心参数输入!$B$52,0)</f>
        <v>0</v>
      </c>
      <c r="AD20" s="1">
        <f>IF(AD$4&lt;=核心参数输入!$B$9,AD10-AD11-MAX(0,AD12)*核心参数输入!$B$52,0)</f>
        <v>0</v>
      </c>
      <c r="AE20" s="1">
        <f>IF(AE$4&lt;=核心参数输入!$B$9,AE10-AE11-MAX(0,AE12)*核心参数输入!$B$52,0)</f>
        <v>0</v>
      </c>
      <c r="AF20" s="1">
        <f>IF(AF$4&lt;=核心参数输入!$B$9,AF10-AF11-MAX(0,AF12)*核心参数输入!$B$52,0)</f>
        <v>0</v>
      </c>
      <c r="AG20" s="1">
        <f>IF(AG$4&lt;=核心参数输入!$B$9,AG10-AG11-MAX(0,AG12)*核心参数输入!$B$52,0)</f>
        <v>0</v>
      </c>
      <c r="AH20" s="1">
        <f>IF(AH$4&lt;=核心参数输入!$B$9,AH10-AH11-MAX(0,AH12)*核心参数输入!$B$52,0)</f>
        <v>0</v>
      </c>
    </row>
    <row r="21" spans="1:34" ht="21" customHeight="1">
      <c r="A21" s="11" t="s">
        <v>267</v>
      </c>
      <c r="B21" s="11" t="s">
        <v>54</v>
      </c>
      <c r="D21" s="1">
        <f>IF(D$4&lt;=核心参数输入!$B$9,投资与资金安排!D28,0)</f>
        <v>8000</v>
      </c>
      <c r="E21" s="1">
        <f>IF(E$4&lt;=核心参数输入!$B$9,投资与资金安排!E28,0)</f>
        <v>0</v>
      </c>
      <c r="F21" s="1">
        <f>IF(F$4&lt;=核心参数输入!$B$9,投资与资金安排!F28,0)</f>
        <v>0</v>
      </c>
      <c r="G21" s="1">
        <f>IF(G$4&lt;=核心参数输入!$B$9,投资与资金安排!G28,0)</f>
        <v>0</v>
      </c>
      <c r="H21" s="1">
        <f>IF(H$4&lt;=核心参数输入!$B$9,投资与资金安排!H28,0)</f>
        <v>0</v>
      </c>
      <c r="I21" s="1">
        <f>IF(I$4&lt;=核心参数输入!$B$9,投资与资金安排!I28,0)</f>
        <v>0</v>
      </c>
      <c r="J21" s="1">
        <f>IF(J$4&lt;=核心参数输入!$B$9,投资与资金安排!J28,0)</f>
        <v>0</v>
      </c>
      <c r="K21" s="1">
        <f>IF(K$4&lt;=核心参数输入!$B$9,投资与资金安排!K28,0)</f>
        <v>0</v>
      </c>
      <c r="L21" s="1">
        <f>IF(L$4&lt;=核心参数输入!$B$9,投资与资金安排!L28,0)</f>
        <v>0</v>
      </c>
      <c r="M21" s="1">
        <f>IF(M$4&lt;=核心参数输入!$B$9,投资与资金安排!M28,0)</f>
        <v>0</v>
      </c>
      <c r="N21" s="1">
        <f>IF(N$4&lt;=核心参数输入!$B$9,投资与资金安排!N28,0)</f>
        <v>0</v>
      </c>
      <c r="O21" s="1">
        <f>IF(O$4&lt;=核心参数输入!$B$9,投资与资金安排!O28,0)</f>
        <v>0</v>
      </c>
      <c r="P21" s="1">
        <f>IF(P$4&lt;=核心参数输入!$B$9,投资与资金安排!P28,0)</f>
        <v>0</v>
      </c>
      <c r="Q21" s="1">
        <f>IF(Q$4&lt;=核心参数输入!$B$9,投资与资金安排!Q28,0)</f>
        <v>0</v>
      </c>
      <c r="R21" s="1">
        <f>IF(R$4&lt;=核心参数输入!$B$9,投资与资金安排!R28,0)</f>
        <v>0</v>
      </c>
      <c r="S21" s="1">
        <f>IF(S$4&lt;=核心参数输入!$B$9,投资与资金安排!S28,0)</f>
        <v>0</v>
      </c>
      <c r="T21" s="1">
        <f>IF(T$4&lt;=核心参数输入!$B$9,投资与资金安排!T28,0)</f>
        <v>0</v>
      </c>
      <c r="U21" s="1">
        <f>IF(U$4&lt;=核心参数输入!$B$9,投资与资金安排!U28,0)</f>
        <v>0</v>
      </c>
      <c r="V21" s="1">
        <f>IF(V$4&lt;=核心参数输入!$B$9,投资与资金安排!V28,0)</f>
        <v>0</v>
      </c>
      <c r="W21" s="1">
        <f>IF(W$4&lt;=核心参数输入!$B$9,投资与资金安排!W28,0)</f>
        <v>0</v>
      </c>
      <c r="X21" s="1">
        <f>IF(X$4&lt;=核心参数输入!$B$9,投资与资金安排!X28,0)</f>
        <v>0</v>
      </c>
      <c r="Y21" s="1">
        <f>IF(Y$4&lt;=核心参数输入!$B$9,投资与资金安排!Y28,0)</f>
        <v>0</v>
      </c>
      <c r="Z21" s="1">
        <f>IF(Z$4&lt;=核心参数输入!$B$9,投资与资金安排!Z28,0)</f>
        <v>0</v>
      </c>
      <c r="AA21" s="1">
        <f>IF(AA$4&lt;=核心参数输入!$B$9,投资与资金安排!AA28,0)</f>
        <v>0</v>
      </c>
      <c r="AB21" s="1">
        <f>IF(AB$4&lt;=核心参数输入!$B$9,投资与资金安排!AB28,0)</f>
        <v>0</v>
      </c>
      <c r="AC21" s="1">
        <f>IF(AC$4&lt;=核心参数输入!$B$9,投资与资金安排!AC28,0)</f>
        <v>0</v>
      </c>
      <c r="AD21" s="1">
        <f>IF(AD$4&lt;=核心参数输入!$B$9,投资与资金安排!AD28,0)</f>
        <v>0</v>
      </c>
      <c r="AE21" s="1">
        <f>IF(AE$4&lt;=核心参数输入!$B$9,投资与资金安排!AE28,0)</f>
        <v>0</v>
      </c>
      <c r="AF21" s="1">
        <f>IF(AF$4&lt;=核心参数输入!$B$9,投资与资金安排!AF28,0)</f>
        <v>0</v>
      </c>
      <c r="AG21" s="1">
        <f>IF(AG$4&lt;=核心参数输入!$B$9,投资与资金安排!AG28,0)</f>
        <v>0</v>
      </c>
      <c r="AH21" s="1">
        <f>IF(AH$4&lt;=核心参数输入!$B$9,投资与资金安排!AH28,0)</f>
        <v>0</v>
      </c>
    </row>
    <row r="22" spans="1:34" ht="21" customHeight="1">
      <c r="A22" s="11" t="s">
        <v>200</v>
      </c>
      <c r="B22" s="11" t="s">
        <v>54</v>
      </c>
      <c r="D22" s="1">
        <f>IF(D$4&lt;=核心参数输入!$B$9,投资与资金安排!D29,0)</f>
        <v>0</v>
      </c>
      <c r="E22" s="1">
        <f>IF(E$4&lt;=核心参数输入!$B$9,投资与资金安排!E29,0)</f>
        <v>15876</v>
      </c>
      <c r="F22" s="1">
        <f>IF(F$4&lt;=核心参数输入!$B$9,投资与资金安排!F29,0)</f>
        <v>21168</v>
      </c>
      <c r="G22" s="1">
        <f>IF(G$4&lt;=核心参数输入!$B$9,投资与资金安排!G29,0)</f>
        <v>15876</v>
      </c>
      <c r="H22" s="1">
        <f>IF(H$4&lt;=核心参数输入!$B$9,投资与资金安排!H29,0)</f>
        <v>0</v>
      </c>
      <c r="I22" s="1">
        <f>IF(I$4&lt;=核心参数输入!$B$9,投资与资金安排!I29,0)</f>
        <v>0</v>
      </c>
      <c r="J22" s="1">
        <f>IF(J$4&lt;=核心参数输入!$B$9,投资与资金安排!J29,0)</f>
        <v>0</v>
      </c>
      <c r="K22" s="1">
        <f>IF(K$4&lt;=核心参数输入!$B$9,投资与资金安排!K29,0)</f>
        <v>0</v>
      </c>
      <c r="L22" s="1">
        <f>IF(L$4&lt;=核心参数输入!$B$9,投资与资金安排!L29,0)</f>
        <v>0</v>
      </c>
      <c r="M22" s="1">
        <f>IF(M$4&lt;=核心参数输入!$B$9,投资与资金安排!M29,0)</f>
        <v>0</v>
      </c>
      <c r="N22" s="1">
        <f>IF(N$4&lt;=核心参数输入!$B$9,投资与资金安排!N29,0)</f>
        <v>0</v>
      </c>
      <c r="O22" s="1">
        <f>IF(O$4&lt;=核心参数输入!$B$9,投资与资金安排!O29,0)</f>
        <v>0</v>
      </c>
      <c r="P22" s="1">
        <f>IF(P$4&lt;=核心参数输入!$B$9,投资与资金安排!P29,0)</f>
        <v>0</v>
      </c>
      <c r="Q22" s="1">
        <f>IF(Q$4&lt;=核心参数输入!$B$9,投资与资金安排!Q29,0)</f>
        <v>0</v>
      </c>
      <c r="R22" s="1">
        <f>IF(R$4&lt;=核心参数输入!$B$9,投资与资金安排!R29,0)</f>
        <v>0</v>
      </c>
      <c r="S22" s="1">
        <f>IF(S$4&lt;=核心参数输入!$B$9,投资与资金安排!S29,0)</f>
        <v>0</v>
      </c>
      <c r="T22" s="1">
        <f>IF(T$4&lt;=核心参数输入!$B$9,投资与资金安排!T29,0)</f>
        <v>0</v>
      </c>
      <c r="U22" s="1">
        <f>IF(U$4&lt;=核心参数输入!$B$9,投资与资金安排!U29,0)</f>
        <v>0</v>
      </c>
      <c r="V22" s="1">
        <f>IF(V$4&lt;=核心参数输入!$B$9,投资与资金安排!V29,0)</f>
        <v>0</v>
      </c>
      <c r="W22" s="1">
        <f>IF(W$4&lt;=核心参数输入!$B$9,投资与资金安排!W29,0)</f>
        <v>0</v>
      </c>
      <c r="X22" s="1">
        <f>IF(X$4&lt;=核心参数输入!$B$9,投资与资金安排!X29,0)</f>
        <v>0</v>
      </c>
      <c r="Y22" s="1">
        <f>IF(Y$4&lt;=核心参数输入!$B$9,投资与资金安排!Y29,0)</f>
        <v>0</v>
      </c>
      <c r="Z22" s="1">
        <f>IF(Z$4&lt;=核心参数输入!$B$9,投资与资金安排!Z29,0)</f>
        <v>0</v>
      </c>
      <c r="AA22" s="1">
        <f>IF(AA$4&lt;=核心参数输入!$B$9,投资与资金安排!AA29,0)</f>
        <v>0</v>
      </c>
      <c r="AB22" s="1">
        <f>IF(AB$4&lt;=核心参数输入!$B$9,投资与资金安排!AB29,0)</f>
        <v>0</v>
      </c>
      <c r="AC22" s="1">
        <f>IF(AC$4&lt;=核心参数输入!$B$9,投资与资金安排!AC29,0)</f>
        <v>0</v>
      </c>
      <c r="AD22" s="1">
        <f>IF(AD$4&lt;=核心参数输入!$B$9,投资与资金安排!AD29,0)</f>
        <v>0</v>
      </c>
      <c r="AE22" s="1">
        <f>IF(AE$4&lt;=核心参数输入!$B$9,投资与资金安排!AE29,0)</f>
        <v>0</v>
      </c>
      <c r="AF22" s="1">
        <f>IF(AF$4&lt;=核心参数输入!$B$9,投资与资金安排!AF29,0)</f>
        <v>0</v>
      </c>
      <c r="AG22" s="1">
        <f>IF(AG$4&lt;=核心参数输入!$B$9,投资与资金安排!AG29,0)</f>
        <v>0</v>
      </c>
      <c r="AH22" s="1">
        <f>IF(AH$4&lt;=核心参数输入!$B$9,投资与资金安排!AH29,0)</f>
        <v>0</v>
      </c>
    </row>
    <row r="23" spans="1:34" ht="21" customHeight="1">
      <c r="A23" s="11" t="s">
        <v>268</v>
      </c>
      <c r="B23" s="11" t="s">
        <v>54</v>
      </c>
      <c r="D23" s="1">
        <f>IF(D$4&lt;=核心参数输入!$B$9,投资与资金安排!D31,0)</f>
        <v>0</v>
      </c>
      <c r="E23" s="1">
        <f>IF(E$4&lt;=核心参数输入!$B$9,投资与资金安排!E31,0)</f>
        <v>0</v>
      </c>
      <c r="F23" s="1">
        <f>IF(F$4&lt;=核心参数输入!$B$9,投资与资金安排!F31,0)</f>
        <v>0</v>
      </c>
      <c r="G23" s="1">
        <f>IF(G$4&lt;=核心参数输入!$B$9,投资与资金安排!G31,0)</f>
        <v>0</v>
      </c>
      <c r="H23" s="1">
        <f>IF(H$4&lt;=核心参数输入!$B$9,投资与资金安排!H31,0)</f>
        <v>500</v>
      </c>
      <c r="I23" s="1">
        <f>IF(I$4&lt;=核心参数输入!$B$9,投资与资金安排!I31,0)</f>
        <v>0</v>
      </c>
      <c r="J23" s="1">
        <f>IF(J$4&lt;=核心参数输入!$B$9,投资与资金安排!J31,0)</f>
        <v>0</v>
      </c>
      <c r="K23" s="1">
        <f>IF(K$4&lt;=核心参数输入!$B$9,投资与资金安排!K31,0)</f>
        <v>0</v>
      </c>
      <c r="L23" s="1">
        <f>IF(L$4&lt;=核心参数输入!$B$9,投资与资金安排!L31,0)</f>
        <v>0</v>
      </c>
      <c r="M23" s="1">
        <f>IF(M$4&lt;=核心参数输入!$B$9,投资与资金安排!M31,0)</f>
        <v>0</v>
      </c>
      <c r="N23" s="1">
        <f>IF(N$4&lt;=核心参数输入!$B$9,投资与资金安排!N31,0)</f>
        <v>0</v>
      </c>
      <c r="O23" s="1">
        <f>IF(O$4&lt;=核心参数输入!$B$9,投资与资金安排!O31,0)</f>
        <v>0</v>
      </c>
      <c r="P23" s="1">
        <f>IF(P$4&lt;=核心参数输入!$B$9,投资与资金安排!P31,0)</f>
        <v>0</v>
      </c>
      <c r="Q23" s="1">
        <f>IF(Q$4&lt;=核心参数输入!$B$9,投资与资金安排!Q31,0)</f>
        <v>0</v>
      </c>
      <c r="R23" s="1">
        <f>IF(R$4&lt;=核心参数输入!$B$9,投资与资金安排!R31,0)</f>
        <v>0</v>
      </c>
      <c r="S23" s="1">
        <f>IF(S$4&lt;=核心参数输入!$B$9,投资与资金安排!S31,0)</f>
        <v>0</v>
      </c>
      <c r="T23" s="1">
        <f>IF(T$4&lt;=核心参数输入!$B$9,投资与资金安排!T31,0)</f>
        <v>0</v>
      </c>
      <c r="U23" s="1">
        <f>IF(U$4&lt;=核心参数输入!$B$9,投资与资金安排!U31,0)</f>
        <v>0</v>
      </c>
      <c r="V23" s="1">
        <f>IF(V$4&lt;=核心参数输入!$B$9,投资与资金安排!V31,0)</f>
        <v>0</v>
      </c>
      <c r="W23" s="1">
        <f>IF(W$4&lt;=核心参数输入!$B$9,投资与资金安排!W31,0)</f>
        <v>0</v>
      </c>
      <c r="X23" s="1">
        <f>IF(X$4&lt;=核心参数输入!$B$9,投资与资金安排!X31,0)</f>
        <v>0</v>
      </c>
      <c r="Y23" s="1">
        <f>IF(Y$4&lt;=核心参数输入!$B$9,投资与资金安排!Y31,0)</f>
        <v>0</v>
      </c>
      <c r="Z23" s="1">
        <f>IF(Z$4&lt;=核心参数输入!$B$9,投资与资金安排!Z31,0)</f>
        <v>0</v>
      </c>
      <c r="AA23" s="1">
        <f>IF(AA$4&lt;=核心参数输入!$B$9,投资与资金安排!AA31,0)</f>
        <v>0</v>
      </c>
      <c r="AB23" s="1">
        <f>IF(AB$4&lt;=核心参数输入!$B$9,投资与资金安排!AB31,0)</f>
        <v>0</v>
      </c>
      <c r="AC23" s="1">
        <f>IF(AC$4&lt;=核心参数输入!$B$9,投资与资金安排!AC31,0)</f>
        <v>0</v>
      </c>
      <c r="AD23" s="1">
        <f>IF(AD$4&lt;=核心参数输入!$B$9,投资与资金安排!AD31,0)</f>
        <v>0</v>
      </c>
      <c r="AE23" s="1">
        <f>IF(AE$4&lt;=核心参数输入!$B$9,投资与资金安排!AE31,0)</f>
        <v>0</v>
      </c>
      <c r="AF23" s="1">
        <f>IF(AF$4&lt;=核心参数输入!$B$9,投资与资金安排!AF31,0)</f>
        <v>0</v>
      </c>
      <c r="AG23" s="1">
        <f>IF(AG$4&lt;=核心参数输入!$B$9,投资与资金安排!AG31,0)</f>
        <v>0</v>
      </c>
      <c r="AH23" s="1">
        <f>IF(AH$4&lt;=核心参数输入!$B$9,投资与资金安排!AH31,0)</f>
        <v>0</v>
      </c>
    </row>
    <row r="24" spans="1:34" ht="21" customHeight="1">
      <c r="A24" s="11" t="s">
        <v>269</v>
      </c>
      <c r="B24" s="11" t="s">
        <v>54</v>
      </c>
      <c r="D24" s="1">
        <f>IF(D$4&lt;=核心参数输入!$B$9,投资与资金安排!D32,0)</f>
        <v>0</v>
      </c>
      <c r="E24" s="1">
        <f>IF(E$4&lt;=核心参数输入!$B$9,投资与资金安排!E32,0)</f>
        <v>0</v>
      </c>
      <c r="F24" s="1">
        <f>IF(F$4&lt;=核心参数输入!$B$9,投资与资金安排!F32,0)</f>
        <v>0</v>
      </c>
      <c r="G24" s="1">
        <f>IF(G$4&lt;=核心参数输入!$B$9,投资与资金安排!G32,0)</f>
        <v>0</v>
      </c>
      <c r="H24" s="1">
        <f>IF(H$4&lt;=核心参数输入!$B$9,投资与资金安排!H32,0)</f>
        <v>0</v>
      </c>
      <c r="I24" s="1">
        <f>IF(I$4&lt;=核心参数输入!$B$9,投资与资金安排!I32,0)</f>
        <v>0</v>
      </c>
      <c r="J24" s="1">
        <f>IF(J$4&lt;=核心参数输入!$B$9,投资与资金安排!J32,0)</f>
        <v>0</v>
      </c>
      <c r="K24" s="1">
        <f>IF(K$4&lt;=核心参数输入!$B$9,投资与资金安排!K32,0)</f>
        <v>0</v>
      </c>
      <c r="L24" s="1">
        <f>IF(L$4&lt;=核心参数输入!$B$9,投资与资金安排!L32,0)</f>
        <v>0</v>
      </c>
      <c r="M24" s="1">
        <f>IF(M$4&lt;=核心参数输入!$B$9,投资与资金安排!M32,0)</f>
        <v>0</v>
      </c>
      <c r="N24" s="1">
        <f>IF(N$4&lt;=核心参数输入!$B$9,投资与资金安排!N32,0)</f>
        <v>0</v>
      </c>
      <c r="O24" s="1">
        <f>IF(O$4&lt;=核心参数输入!$B$9,投资与资金安排!O32,0)</f>
        <v>0</v>
      </c>
      <c r="P24" s="1">
        <f>IF(P$4&lt;=核心参数输入!$B$9,投资与资金安排!P32,0)</f>
        <v>0</v>
      </c>
      <c r="Q24" s="1">
        <f>IF(Q$4&lt;=核心参数输入!$B$9,投资与资金安排!Q32,0)</f>
        <v>0</v>
      </c>
      <c r="R24" s="1">
        <f>IF(R$4&lt;=核心参数输入!$B$9,投资与资金安排!R32,0)</f>
        <v>0</v>
      </c>
      <c r="S24" s="1">
        <f>IF(S$4&lt;=核心参数输入!$B$9,投资与资金安排!S32,0)</f>
        <v>0</v>
      </c>
      <c r="T24" s="1">
        <f>IF(T$4&lt;=核心参数输入!$B$9,投资与资金安排!T32,0)</f>
        <v>0</v>
      </c>
      <c r="U24" s="1">
        <f>IF(U$4&lt;=核心参数输入!$B$9,投资与资金安排!U32,0)</f>
        <v>0</v>
      </c>
      <c r="V24" s="1">
        <f>IF(V$4&lt;=核心参数输入!$B$9,投资与资金安排!V32,0)</f>
        <v>0</v>
      </c>
      <c r="W24" s="1">
        <f>IF(W$4&lt;=核心参数输入!$B$9,投资与资金安排!W32,0)</f>
        <v>0</v>
      </c>
      <c r="X24" s="1">
        <f>IF(X$4&lt;=核心参数输入!$B$9,投资与资金安排!X32,0)</f>
        <v>500</v>
      </c>
      <c r="Y24" s="1">
        <f>IF(Y$4&lt;=核心参数输入!$B$9,投资与资金安排!Y32,0)</f>
        <v>0</v>
      </c>
      <c r="Z24" s="1">
        <f>IF(Z$4&lt;=核心参数输入!$B$9,投资与资金安排!Z32,0)</f>
        <v>0</v>
      </c>
      <c r="AA24" s="1">
        <f>IF(AA$4&lt;=核心参数输入!$B$9,投资与资金安排!AA32,0)</f>
        <v>0</v>
      </c>
      <c r="AB24" s="1">
        <f>IF(AB$4&lt;=核心参数输入!$B$9,投资与资金安排!AB32,0)</f>
        <v>0</v>
      </c>
      <c r="AC24" s="1">
        <f>IF(AC$4&lt;=核心参数输入!$B$9,投资与资金安排!AC32,0)</f>
        <v>0</v>
      </c>
      <c r="AD24" s="1">
        <f>IF(AD$4&lt;=核心参数输入!$B$9,投资与资金安排!AD32,0)</f>
        <v>0</v>
      </c>
      <c r="AE24" s="1">
        <f>IF(AE$4&lt;=核心参数输入!$B$9,投资与资金安排!AE32,0)</f>
        <v>0</v>
      </c>
      <c r="AF24" s="1">
        <f>IF(AF$4&lt;=核心参数输入!$B$9,投资与资金安排!AF32,0)</f>
        <v>0</v>
      </c>
      <c r="AG24" s="1">
        <f>IF(AG$4&lt;=核心参数输入!$B$9,投资与资金安排!AG32,0)</f>
        <v>0</v>
      </c>
      <c r="AH24" s="1">
        <f>IF(AH$4&lt;=核心参数输入!$B$9,投资与资金安排!AH32,0)</f>
        <v>0</v>
      </c>
    </row>
    <row r="25" spans="1:34" ht="21" customHeight="1">
      <c r="A25" s="11" t="s">
        <v>270</v>
      </c>
      <c r="B25" s="11" t="s">
        <v>54</v>
      </c>
      <c r="D25" s="1">
        <f>IF(D$4&lt;=核心参数输入!$B$9,销售与出租收入!D26,0)</f>
        <v>0</v>
      </c>
      <c r="E25" s="1">
        <f>IF(E$4&lt;=核心参数输入!$B$9,销售与出租收入!E26,0)</f>
        <v>0</v>
      </c>
      <c r="F25" s="1">
        <f>IF(F$4&lt;=核心参数输入!$B$9,销售与出租收入!F26,0)</f>
        <v>0</v>
      </c>
      <c r="G25" s="1">
        <f>IF(G$4&lt;=核心参数输入!$B$9,销售与出租收入!G26,0)</f>
        <v>0</v>
      </c>
      <c r="H25" s="1">
        <f>IF(H$4&lt;=核心参数输入!$B$9,销售与出租收入!H26,0)</f>
        <v>0</v>
      </c>
      <c r="I25" s="1">
        <f>IF(I$4&lt;=核心参数输入!$B$9,销售与出租收入!I26,0)</f>
        <v>0</v>
      </c>
      <c r="J25" s="1">
        <f>IF(J$4&lt;=核心参数输入!$B$9,销售与出租收入!J26,0)</f>
        <v>0</v>
      </c>
      <c r="K25" s="1">
        <f>IF(K$4&lt;=核心参数输入!$B$9,销售与出租收入!K26,0)</f>
        <v>0</v>
      </c>
      <c r="L25" s="1">
        <f>IF(L$4&lt;=核心参数输入!$B$9,销售与出租收入!L26,0)</f>
        <v>0</v>
      </c>
      <c r="M25" s="1">
        <f>IF(M$4&lt;=核心参数输入!$B$9,销售与出租收入!M26,0)</f>
        <v>0</v>
      </c>
      <c r="N25" s="1">
        <f>IF(N$4&lt;=核心参数输入!$B$9,销售与出租收入!N26,0)</f>
        <v>0</v>
      </c>
      <c r="O25" s="1">
        <f>IF(O$4&lt;=核心参数输入!$B$9,销售与出租收入!O26,0)</f>
        <v>0</v>
      </c>
      <c r="P25" s="1">
        <f>IF(P$4&lt;=核心参数输入!$B$9,销售与出租收入!P26,0)</f>
        <v>0</v>
      </c>
      <c r="Q25" s="1">
        <f>IF(Q$4&lt;=核心参数输入!$B$9,销售与出租收入!Q26,0)</f>
        <v>0</v>
      </c>
      <c r="R25" s="1">
        <f>IF(R$4&lt;=核心参数输入!$B$9,销售与出租收入!R26,0)</f>
        <v>0</v>
      </c>
      <c r="S25" s="1">
        <f>IF(S$4&lt;=核心参数输入!$B$9,销售与出租收入!S26,0)</f>
        <v>0</v>
      </c>
      <c r="T25" s="1">
        <f>IF(T$4&lt;=核心参数输入!$B$9,销售与出租收入!T26,0)</f>
        <v>0</v>
      </c>
      <c r="U25" s="1">
        <f>IF(U$4&lt;=核心参数输入!$B$9,销售与出租收入!U26,0)</f>
        <v>0</v>
      </c>
      <c r="V25" s="1">
        <f>IF(V$4&lt;=核心参数输入!$B$9,销售与出租收入!V26,0)</f>
        <v>0</v>
      </c>
      <c r="W25" s="1">
        <f>IF(W$4&lt;=核心参数输入!$B$9,销售与出租收入!W26,0)</f>
        <v>0</v>
      </c>
      <c r="X25" s="1">
        <f>IF(X$4&lt;=核心参数输入!$B$9,销售与出租收入!X26,0)</f>
        <v>0</v>
      </c>
      <c r="Y25" s="1">
        <f>IF(Y$4&lt;=核心参数输入!$B$9,销售与出租收入!Y26,0)</f>
        <v>0</v>
      </c>
      <c r="Z25" s="1">
        <f>IF(Z$4&lt;=核心参数输入!$B$9,销售与出租收入!Z26,0)</f>
        <v>0</v>
      </c>
      <c r="AA25" s="1">
        <f>IF(AA$4&lt;=核心参数输入!$B$9,销售与出租收入!AA26,0)</f>
        <v>0</v>
      </c>
      <c r="AB25" s="1">
        <f>IF(AB$4&lt;=核心参数输入!$B$9,销售与出租收入!AB26,0)</f>
        <v>0</v>
      </c>
      <c r="AC25" s="1">
        <f>IF(AC$4&lt;=核心参数输入!$B$9,销售与出租收入!AC26,0)</f>
        <v>0</v>
      </c>
      <c r="AD25" s="1">
        <f>IF(AD$4&lt;=核心参数输入!$B$9,销售与出租收入!AD26,0)</f>
        <v>0</v>
      </c>
      <c r="AE25" s="1">
        <f>IF(AE$4&lt;=核心参数输入!$B$9,销售与出租收入!AE26,0)</f>
        <v>0</v>
      </c>
      <c r="AF25" s="1">
        <f>IF(AF$4&lt;=核心参数输入!$B$9,销售与出租收入!AF26,0)</f>
        <v>0</v>
      </c>
      <c r="AG25" s="1">
        <f>IF(AG$4&lt;=核心参数输入!$B$9,销售与出租收入!AG26,0)</f>
        <v>0</v>
      </c>
      <c r="AH25" s="1">
        <f>IF(AH$4&lt;=核心参数输入!$B$9,销售与出租收入!AH26,0)</f>
        <v>0</v>
      </c>
    </row>
    <row r="26" spans="1:34" ht="21" customHeight="1">
      <c r="A26" s="11" t="s">
        <v>271</v>
      </c>
      <c r="B26" s="11" t="s">
        <v>54</v>
      </c>
      <c r="D26" s="1">
        <f>IF(D$4&lt;=核心参数输入!$B$9,D10-D11-D16-D21-D22-D23+D24+D25,0)</f>
        <v>-8000</v>
      </c>
      <c r="E26" s="1">
        <f>IF(E$4&lt;=核心参数输入!$B$9,E10-E11-E16-E21-E22-E23+E24+E25,0)</f>
        <v>-15876</v>
      </c>
      <c r="F26" s="1">
        <f>IF(F$4&lt;=核心参数输入!$B$9,F10-F11-F16-F21-F22-F23+F24+F25,0)</f>
        <v>-21168</v>
      </c>
      <c r="G26" s="1">
        <f>IF(G$4&lt;=核心参数输入!$B$9,G10-G11-G16-G21-G22-G23+G24+G25,0)</f>
        <v>-15876</v>
      </c>
      <c r="H26" s="1">
        <f>IF(H$4&lt;=核心参数输入!$B$9,H10-H11-H16-H21-H22-H23+H24+H25,0)</f>
        <v>12010.141734625</v>
      </c>
      <c r="I26" s="1">
        <f>IF(I$4&lt;=核心参数输入!$B$9,I10-I11-I16-I21-I22-I23+I24+I25,0)</f>
        <v>16924.46268407525</v>
      </c>
      <c r="J26" s="1">
        <f>IF(J$4&lt;=核心参数输入!$B$9,J10-J11-J16-J21-J22-J23+J24+J25,0)</f>
        <v>13055.278741357974</v>
      </c>
      <c r="K26" s="1">
        <f>IF(K$4&lt;=核心参数输入!$B$9,K10-K11-K16-K21-K22-K23+K24+K25,0)</f>
        <v>927.91637457730485</v>
      </c>
      <c r="L26" s="1">
        <f>IF(L$4&lt;=核心参数输入!$B$9,L10-L11-L16-L21-L22-L23+L24+L25,0)</f>
        <v>955.75184284661168</v>
      </c>
      <c r="M26" s="1">
        <f>IF(M$4&lt;=核心参数输入!$B$9,M10-M11-M16-M21-M22-M23+M24+M25,0)</f>
        <v>968.06747180931063</v>
      </c>
      <c r="N26" s="1">
        <f>IF(N$4&lt;=核心参数输入!$B$9,N10-N11-N16-N21-N22-N23+N24+N25,0)</f>
        <v>980.5434804828501</v>
      </c>
      <c r="O26" s="1">
        <f>IF(O$4&lt;=核心参数输入!$B$9,O10-O11-O16-O21-O22-O23+O24+O25,0)</f>
        <v>993.18178746842091</v>
      </c>
      <c r="P26" s="1">
        <f>IF(P$4&lt;=核心参数输入!$B$9,P10-P11-P16-P21-P22-P23+P24+P25,0)</f>
        <v>1005.9843304043416</v>
      </c>
      <c r="Q26" s="1">
        <f>IF(Q$4&lt;=核心参数输入!$B$9,Q10-Q11-Q16-Q21-Q22-Q23+Q24+Q25,0)</f>
        <v>1018.9530660567789</v>
      </c>
      <c r="R26" s="1">
        <f>IF(R$4&lt;=核心参数输入!$B$9,R10-R11-R16-R21-R22-R23+R24+R25,0)</f>
        <v>1032.0899704079302</v>
      </c>
      <c r="S26" s="1">
        <f>IF(S$4&lt;=核心参数输入!$B$9,S10-S11-S16-S21-S22-S23+S24+S25,0)</f>
        <v>1045.397038741555</v>
      </c>
      <c r="T26" s="1">
        <f>IF(T$4&lt;=核心参数输入!$B$9,T10-T11-T16-T21-T22-T23+T24+T25,0)</f>
        <v>1058.8762857257341</v>
      </c>
      <c r="U26" s="1">
        <f>IF(U$4&lt;=核心参数输入!$B$9,U10-U11-U16-U21-U22-U23+U24+U25,0)</f>
        <v>1072.5297454927372</v>
      </c>
      <c r="V26" s="1">
        <f>IF(V$4&lt;=核心参数输入!$B$9,V10-V11-V16-V21-V22-V23+V24+V25,0)</f>
        <v>1086.3594717158676</v>
      </c>
      <c r="W26" s="1">
        <f>IF(W$4&lt;=核心参数输入!$B$9,W10-W11-W16-W21-W22-W23+W24+W25,0)</f>
        <v>1100.3675376831593</v>
      </c>
      <c r="X26" s="1">
        <f>IF(X$4&lt;=核心参数输入!$B$9,X10-X11-X16-X21-X22-X23+X24+X25,0)</f>
        <v>1614.5560363677919</v>
      </c>
      <c r="Y26" s="1">
        <f>IF(Y$4&lt;=核心参数输入!$B$9,Y10-Y11-Y16-Y21-Y22-Y23+Y24+Y25,0)</f>
        <v>0</v>
      </c>
      <c r="Z26" s="1">
        <f>IF(Z$4&lt;=核心参数输入!$B$9,Z10-Z11-Z16-Z21-Z22-Z23+Z24+Z25,0)</f>
        <v>0</v>
      </c>
      <c r="AA26" s="1">
        <f>IF(AA$4&lt;=核心参数输入!$B$9,AA10-AA11-AA16-AA21-AA22-AA23+AA24+AA25,0)</f>
        <v>0</v>
      </c>
      <c r="AB26" s="1">
        <f>IF(AB$4&lt;=核心参数输入!$B$9,AB10-AB11-AB16-AB21-AB22-AB23+AB24+AB25,0)</f>
        <v>0</v>
      </c>
      <c r="AC26" s="1">
        <f>IF(AC$4&lt;=核心参数输入!$B$9,AC10-AC11-AC16-AC21-AC22-AC23+AC24+AC25,0)</f>
        <v>0</v>
      </c>
      <c r="AD26" s="1">
        <f>IF(AD$4&lt;=核心参数输入!$B$9,AD10-AD11-AD16-AD21-AD22-AD23+AD24+AD25,0)</f>
        <v>0</v>
      </c>
      <c r="AE26" s="1">
        <f>IF(AE$4&lt;=核心参数输入!$B$9,AE10-AE11-AE16-AE21-AE22-AE23+AE24+AE25,0)</f>
        <v>0</v>
      </c>
      <c r="AF26" s="1">
        <f>IF(AF$4&lt;=核心参数输入!$B$9,AF10-AF11-AF16-AF21-AF22-AF23+AF24+AF25,0)</f>
        <v>0</v>
      </c>
      <c r="AG26" s="1">
        <f>IF(AG$4&lt;=核心参数输入!$B$9,AG10-AG11-AG16-AG21-AG22-AG23+AG24+AG25,0)</f>
        <v>0</v>
      </c>
      <c r="AH26" s="1">
        <f>IF(AH$4&lt;=核心参数输入!$B$9,AH10-AH11-AH16-AH21-AH22-AH23+AH24+AH25,0)</f>
        <v>0</v>
      </c>
    </row>
    <row r="27" spans="1:34" ht="21" customHeight="1">
      <c r="A27" s="11" t="s">
        <v>272</v>
      </c>
      <c r="B27" s="11" t="s">
        <v>54</v>
      </c>
      <c r="D27" s="1">
        <f>IF(D$4&lt;=核心参数输入!$B$9,融资与还本付息!D11,0)</f>
        <v>0</v>
      </c>
      <c r="E27" s="1">
        <f>IF(E$4&lt;=核心参数输入!$B$9,融资与还本付息!E11,0)</f>
        <v>9000</v>
      </c>
      <c r="F27" s="1">
        <f>IF(F$4&lt;=核心参数输入!$B$9,融资与还本付息!F11,0)</f>
        <v>12000</v>
      </c>
      <c r="G27" s="1">
        <f>IF(G$4&lt;=核心参数输入!$B$9,融资与还本付息!G11,0)</f>
        <v>9000</v>
      </c>
      <c r="H27" s="1">
        <f>IF(H$4&lt;=核心参数输入!$B$9,融资与还本付息!H11,0)</f>
        <v>0</v>
      </c>
      <c r="I27" s="1">
        <f>IF(I$4&lt;=核心参数输入!$B$9,融资与还本付息!I11,0)</f>
        <v>0</v>
      </c>
      <c r="J27" s="1">
        <f>IF(J$4&lt;=核心参数输入!$B$9,融资与还本付息!J11,0)</f>
        <v>0</v>
      </c>
      <c r="K27" s="1">
        <f>IF(K$4&lt;=核心参数输入!$B$9,融资与还本付息!K11,0)</f>
        <v>0</v>
      </c>
      <c r="L27" s="1">
        <f>IF(L$4&lt;=核心参数输入!$B$9,融资与还本付息!L11,0)</f>
        <v>0</v>
      </c>
      <c r="M27" s="1">
        <f>IF(M$4&lt;=核心参数输入!$B$9,融资与还本付息!M11,0)</f>
        <v>0</v>
      </c>
      <c r="N27" s="1">
        <f>IF(N$4&lt;=核心参数输入!$B$9,融资与还本付息!N11,0)</f>
        <v>0</v>
      </c>
      <c r="O27" s="1">
        <f>IF(O$4&lt;=核心参数输入!$B$9,融资与还本付息!O11,0)</f>
        <v>0</v>
      </c>
      <c r="P27" s="1">
        <f>IF(P$4&lt;=核心参数输入!$B$9,融资与还本付息!P11,0)</f>
        <v>0</v>
      </c>
      <c r="Q27" s="1">
        <f>IF(Q$4&lt;=核心参数输入!$B$9,融资与还本付息!Q11,0)</f>
        <v>0</v>
      </c>
      <c r="R27" s="1">
        <f>IF(R$4&lt;=核心参数输入!$B$9,融资与还本付息!R11,0)</f>
        <v>0</v>
      </c>
      <c r="S27" s="1">
        <f>IF(S$4&lt;=核心参数输入!$B$9,融资与还本付息!S11,0)</f>
        <v>0</v>
      </c>
      <c r="T27" s="1">
        <f>IF(T$4&lt;=核心参数输入!$B$9,融资与还本付息!T11,0)</f>
        <v>0</v>
      </c>
      <c r="U27" s="1">
        <f>IF(U$4&lt;=核心参数输入!$B$9,融资与还本付息!U11,0)</f>
        <v>0</v>
      </c>
      <c r="V27" s="1">
        <f>IF(V$4&lt;=核心参数输入!$B$9,融资与还本付息!V11,0)</f>
        <v>0</v>
      </c>
      <c r="W27" s="1">
        <f>IF(W$4&lt;=核心参数输入!$B$9,融资与还本付息!W11,0)</f>
        <v>0</v>
      </c>
      <c r="X27" s="1">
        <f>IF(X$4&lt;=核心参数输入!$B$9,融资与还本付息!X11,0)</f>
        <v>0</v>
      </c>
      <c r="Y27" s="1">
        <f>IF(Y$4&lt;=核心参数输入!$B$9,融资与还本付息!Y11,0)</f>
        <v>0</v>
      </c>
      <c r="Z27" s="1">
        <f>IF(Z$4&lt;=核心参数输入!$B$9,融资与还本付息!Z11,0)</f>
        <v>0</v>
      </c>
      <c r="AA27" s="1">
        <f>IF(AA$4&lt;=核心参数输入!$B$9,融资与还本付息!AA11,0)</f>
        <v>0</v>
      </c>
      <c r="AB27" s="1">
        <f>IF(AB$4&lt;=核心参数输入!$B$9,融资与还本付息!AB11,0)</f>
        <v>0</v>
      </c>
      <c r="AC27" s="1">
        <f>IF(AC$4&lt;=核心参数输入!$B$9,融资与还本付息!AC11,0)</f>
        <v>0</v>
      </c>
      <c r="AD27" s="1">
        <f>IF(AD$4&lt;=核心参数输入!$B$9,融资与还本付息!AD11,0)</f>
        <v>0</v>
      </c>
      <c r="AE27" s="1">
        <f>IF(AE$4&lt;=核心参数输入!$B$9,融资与还本付息!AE11,0)</f>
        <v>0</v>
      </c>
      <c r="AF27" s="1">
        <f>IF(AF$4&lt;=核心参数输入!$B$9,融资与还本付息!AF11,0)</f>
        <v>0</v>
      </c>
      <c r="AG27" s="1">
        <f>IF(AG$4&lt;=核心参数输入!$B$9,融资与还本付息!AG11,0)</f>
        <v>0</v>
      </c>
      <c r="AH27" s="1">
        <f>IF(AH$4&lt;=核心参数输入!$B$9,融资与还本付息!AH11,0)</f>
        <v>0</v>
      </c>
    </row>
    <row r="28" spans="1:34" ht="21" customHeight="1">
      <c r="A28" s="11" t="s">
        <v>273</v>
      </c>
      <c r="B28" s="11" t="s">
        <v>54</v>
      </c>
      <c r="D28" s="1">
        <f>IF(D$4&lt;=核心参数输入!$B$9,融资与还本付息!D14,0)</f>
        <v>0</v>
      </c>
      <c r="E28" s="1">
        <f>IF(E$4&lt;=核心参数输入!$B$9,融资与还本付息!E14,0)</f>
        <v>189</v>
      </c>
      <c r="F28" s="1">
        <f>IF(F$4&lt;=核心参数输入!$B$9,融资与还本付息!F14,0)</f>
        <v>630</v>
      </c>
      <c r="G28" s="1">
        <f>IF(G$4&lt;=核心参数输入!$B$9,融资与还本付息!G14,0)</f>
        <v>1071</v>
      </c>
      <c r="H28" s="1">
        <f>IF(H$4&lt;=核心参数输入!$B$9,融资与还本付息!H14,0)</f>
        <v>1170.0000000000002</v>
      </c>
      <c r="I28" s="1">
        <f>IF(I$4&lt;=核心参数输入!$B$9,融资与还本付息!I14,0)</f>
        <v>990.00000000000011</v>
      </c>
      <c r="J28" s="1">
        <f>IF(J$4&lt;=核心参数输入!$B$9,融资与还本付息!J14,0)</f>
        <v>810.00000000000011</v>
      </c>
      <c r="K28" s="1">
        <f>IF(K$4&lt;=核心参数输入!$B$9,融资与还本付息!K14,0)</f>
        <v>630</v>
      </c>
      <c r="L28" s="1">
        <f>IF(L$4&lt;=核心参数输入!$B$9,融资与还本付息!L14,0)</f>
        <v>449.99999999999994</v>
      </c>
      <c r="M28" s="1">
        <f>IF(M$4&lt;=核心参数输入!$B$9,融资与还本付息!M14,0)</f>
        <v>269.99999999999989</v>
      </c>
      <c r="N28" s="1">
        <f>IF(N$4&lt;=核心参数输入!$B$9,融资与还本付息!N14,0)</f>
        <v>89.999999999999957</v>
      </c>
      <c r="O28" s="1">
        <f>IF(O$4&lt;=核心参数输入!$B$9,融资与还本付息!O14,0)</f>
        <v>0</v>
      </c>
      <c r="P28" s="1">
        <f>IF(P$4&lt;=核心参数输入!$B$9,融资与还本付息!P14,0)</f>
        <v>0</v>
      </c>
      <c r="Q28" s="1">
        <f>IF(Q$4&lt;=核心参数输入!$B$9,融资与还本付息!Q14,0)</f>
        <v>0</v>
      </c>
      <c r="R28" s="1">
        <f>IF(R$4&lt;=核心参数输入!$B$9,融资与还本付息!R14,0)</f>
        <v>0</v>
      </c>
      <c r="S28" s="1">
        <f>IF(S$4&lt;=核心参数输入!$B$9,融资与还本付息!S14,0)</f>
        <v>0</v>
      </c>
      <c r="T28" s="1">
        <f>IF(T$4&lt;=核心参数输入!$B$9,融资与还本付息!T14,0)</f>
        <v>0</v>
      </c>
      <c r="U28" s="1">
        <f>IF(U$4&lt;=核心参数输入!$B$9,融资与还本付息!U14,0)</f>
        <v>0</v>
      </c>
      <c r="V28" s="1">
        <f>IF(V$4&lt;=核心参数输入!$B$9,融资与还本付息!V14,0)</f>
        <v>0</v>
      </c>
      <c r="W28" s="1">
        <f>IF(W$4&lt;=核心参数输入!$B$9,融资与还本付息!W14,0)</f>
        <v>0</v>
      </c>
      <c r="X28" s="1">
        <f>IF(X$4&lt;=核心参数输入!$B$9,融资与还本付息!X14,0)</f>
        <v>0</v>
      </c>
      <c r="Y28" s="1">
        <f>IF(Y$4&lt;=核心参数输入!$B$9,融资与还本付息!Y14,0)</f>
        <v>0</v>
      </c>
      <c r="Z28" s="1">
        <f>IF(Z$4&lt;=核心参数输入!$B$9,融资与还本付息!Z14,0)</f>
        <v>0</v>
      </c>
      <c r="AA28" s="1">
        <f>IF(AA$4&lt;=核心参数输入!$B$9,融资与还本付息!AA14,0)</f>
        <v>0</v>
      </c>
      <c r="AB28" s="1">
        <f>IF(AB$4&lt;=核心参数输入!$B$9,融资与还本付息!AB14,0)</f>
        <v>0</v>
      </c>
      <c r="AC28" s="1">
        <f>IF(AC$4&lt;=核心参数输入!$B$9,融资与还本付息!AC14,0)</f>
        <v>0</v>
      </c>
      <c r="AD28" s="1">
        <f>IF(AD$4&lt;=核心参数输入!$B$9,融资与还本付息!AD14,0)</f>
        <v>0</v>
      </c>
      <c r="AE28" s="1">
        <f>IF(AE$4&lt;=核心参数输入!$B$9,融资与还本付息!AE14,0)</f>
        <v>0</v>
      </c>
      <c r="AF28" s="1">
        <f>IF(AF$4&lt;=核心参数输入!$B$9,融资与还本付息!AF14,0)</f>
        <v>0</v>
      </c>
      <c r="AG28" s="1">
        <f>IF(AG$4&lt;=核心参数输入!$B$9,融资与还本付息!AG14,0)</f>
        <v>0</v>
      </c>
      <c r="AH28" s="1">
        <f>IF(AH$4&lt;=核心参数输入!$B$9,融资与还本付息!AH14,0)</f>
        <v>0</v>
      </c>
    </row>
    <row r="29" spans="1:34" ht="21" customHeight="1">
      <c r="A29" s="11" t="s">
        <v>274</v>
      </c>
      <c r="B29" s="11" t="s">
        <v>54</v>
      </c>
      <c r="D29" s="1">
        <f>IF(D$4&lt;=核心参数输入!$B$9,融资与还本付息!D13,0)</f>
        <v>0</v>
      </c>
      <c r="E29" s="1">
        <f>IF(E$4&lt;=核心参数输入!$B$9,融资与还本付息!E13,0)</f>
        <v>0</v>
      </c>
      <c r="F29" s="1">
        <f>IF(F$4&lt;=核心参数输入!$B$9,融资与还本付息!F13,0)</f>
        <v>0</v>
      </c>
      <c r="G29" s="1">
        <f>IF(G$4&lt;=核心参数输入!$B$9,融资与还本付息!G13,0)</f>
        <v>0</v>
      </c>
      <c r="H29" s="1">
        <f>IF(H$4&lt;=核心参数输入!$B$9,融资与还本付息!H13,0)</f>
        <v>4285.7142857142853</v>
      </c>
      <c r="I29" s="1">
        <f>IF(I$4&lt;=核心参数输入!$B$9,融资与还本付息!I13,0)</f>
        <v>4285.7142857142853</v>
      </c>
      <c r="J29" s="1">
        <f>IF(J$4&lt;=核心参数输入!$B$9,融资与还本付息!J13,0)</f>
        <v>4285.7142857142853</v>
      </c>
      <c r="K29" s="1">
        <f>IF(K$4&lt;=核心参数输入!$B$9,融资与还本付息!K13,0)</f>
        <v>4285.7142857142853</v>
      </c>
      <c r="L29" s="1">
        <f>IF(L$4&lt;=核心参数输入!$B$9,融资与还本付息!L13,0)</f>
        <v>4285.7142857142853</v>
      </c>
      <c r="M29" s="1">
        <f>IF(M$4&lt;=核心参数输入!$B$9,融资与还本付息!M13,0)</f>
        <v>4285.7142857142853</v>
      </c>
      <c r="N29" s="1">
        <f>IF(N$4&lt;=核心参数输入!$B$9,融资与还本付息!N13,0)</f>
        <v>4285.7142857142835</v>
      </c>
      <c r="O29" s="1">
        <f>IF(O$4&lt;=核心参数输入!$B$9,融资与还本付息!O13,0)</f>
        <v>0</v>
      </c>
      <c r="P29" s="1">
        <f>IF(P$4&lt;=核心参数输入!$B$9,融资与还本付息!P13,0)</f>
        <v>0</v>
      </c>
      <c r="Q29" s="1">
        <f>IF(Q$4&lt;=核心参数输入!$B$9,融资与还本付息!Q13,0)</f>
        <v>0</v>
      </c>
      <c r="R29" s="1">
        <f>IF(R$4&lt;=核心参数输入!$B$9,融资与还本付息!R13,0)</f>
        <v>0</v>
      </c>
      <c r="S29" s="1">
        <f>IF(S$4&lt;=核心参数输入!$B$9,融资与还本付息!S13,0)</f>
        <v>0</v>
      </c>
      <c r="T29" s="1">
        <f>IF(T$4&lt;=核心参数输入!$B$9,融资与还本付息!T13,0)</f>
        <v>0</v>
      </c>
      <c r="U29" s="1">
        <f>IF(U$4&lt;=核心参数输入!$B$9,融资与还本付息!U13,0)</f>
        <v>0</v>
      </c>
      <c r="V29" s="1">
        <f>IF(V$4&lt;=核心参数输入!$B$9,融资与还本付息!V13,0)</f>
        <v>0</v>
      </c>
      <c r="W29" s="1">
        <f>IF(W$4&lt;=核心参数输入!$B$9,融资与还本付息!W13,0)</f>
        <v>0</v>
      </c>
      <c r="X29" s="1">
        <f>IF(X$4&lt;=核心参数输入!$B$9,融资与还本付息!X13,0)</f>
        <v>0</v>
      </c>
      <c r="Y29" s="1">
        <f>IF(Y$4&lt;=核心参数输入!$B$9,融资与还本付息!Y13,0)</f>
        <v>0</v>
      </c>
      <c r="Z29" s="1">
        <f>IF(Z$4&lt;=核心参数输入!$B$9,融资与还本付息!Z13,0)</f>
        <v>0</v>
      </c>
      <c r="AA29" s="1">
        <f>IF(AA$4&lt;=核心参数输入!$B$9,融资与还本付息!AA13,0)</f>
        <v>0</v>
      </c>
      <c r="AB29" s="1">
        <f>IF(AB$4&lt;=核心参数输入!$B$9,融资与还本付息!AB13,0)</f>
        <v>0</v>
      </c>
      <c r="AC29" s="1">
        <f>IF(AC$4&lt;=核心参数输入!$B$9,融资与还本付息!AC13,0)</f>
        <v>0</v>
      </c>
      <c r="AD29" s="1">
        <f>IF(AD$4&lt;=核心参数输入!$B$9,融资与还本付息!AD13,0)</f>
        <v>0</v>
      </c>
      <c r="AE29" s="1">
        <f>IF(AE$4&lt;=核心参数输入!$B$9,融资与还本付息!AE13,0)</f>
        <v>0</v>
      </c>
      <c r="AF29" s="1">
        <f>IF(AF$4&lt;=核心参数输入!$B$9,融资与还本付息!AF13,0)</f>
        <v>0</v>
      </c>
      <c r="AG29" s="1">
        <f>IF(AG$4&lt;=核心参数输入!$B$9,融资与还本付息!AG13,0)</f>
        <v>0</v>
      </c>
      <c r="AH29" s="1">
        <f>IF(AH$4&lt;=核心参数输入!$B$9,融资与还本付息!AH13,0)</f>
        <v>0</v>
      </c>
    </row>
    <row r="30" spans="1:34" ht="21" customHeight="1">
      <c r="A30" s="11" t="s">
        <v>275</v>
      </c>
      <c r="B30" s="11" t="s">
        <v>54</v>
      </c>
      <c r="D30" s="1">
        <f>IF(D$4&lt;=核心参数输入!$B$9,D16-D17,0)</f>
        <v>0</v>
      </c>
      <c r="E30" s="1">
        <f>IF(E$4&lt;=核心参数输入!$B$9,E16-E17,0)</f>
        <v>0</v>
      </c>
      <c r="F30" s="1">
        <f>IF(F$4&lt;=核心参数输入!$B$9,F16-F17,0)</f>
        <v>0</v>
      </c>
      <c r="G30" s="1">
        <f>IF(G$4&lt;=核心参数输入!$B$9,G16-G17,0)</f>
        <v>0</v>
      </c>
      <c r="H30" s="1">
        <f>IF(H$4&lt;=核心参数输入!$B$9,H16-H17,0)</f>
        <v>377.19562500000018</v>
      </c>
      <c r="I30" s="1">
        <f>IF(I$4&lt;=核心参数输入!$B$9,I16-I17,0)</f>
        <v>358.18312499999979</v>
      </c>
      <c r="J30" s="1">
        <f>IF(J$4&lt;=核心参数输入!$B$9,J16-J17,0)</f>
        <v>287.19562500000006</v>
      </c>
      <c r="K30" s="1">
        <f>IF(K$4&lt;=核心参数输入!$B$9,K16-K17,0)</f>
        <v>57.935458192434993</v>
      </c>
      <c r="L30" s="1">
        <f>IF(L$4&lt;=核心参数输入!$B$9,L16-L17,0)</f>
        <v>67.213947615537251</v>
      </c>
      <c r="M30" s="1">
        <f>IF(M$4&lt;=核心参数输入!$B$9,M16-M17,0)</f>
        <v>71.319157269770244</v>
      </c>
      <c r="N30" s="1">
        <f>IF(N$4&lt;=核心参数输入!$B$9,N16-N17,0)</f>
        <v>29.233124999999959</v>
      </c>
      <c r="O30" s="1">
        <f>IF(O$4&lt;=核心参数输入!$B$9,O16-O17,0)</f>
        <v>6.7331249999999727</v>
      </c>
      <c r="P30" s="1">
        <f>IF(P$4&lt;=核心参数输入!$B$9,P16-P17,0)</f>
        <v>6.7331249999999727</v>
      </c>
      <c r="Q30" s="1">
        <f>IF(Q$4&lt;=核心参数输入!$B$9,Q16-Q17,0)</f>
        <v>6.7331249999999727</v>
      </c>
      <c r="R30" s="1">
        <f>IF(R$4&lt;=核心参数输入!$B$9,R16-R17,0)</f>
        <v>6.7331249999999727</v>
      </c>
      <c r="S30" s="1">
        <f>IF(S$4&lt;=核心参数输入!$B$9,S16-S17,0)</f>
        <v>6.7331249999999727</v>
      </c>
      <c r="T30" s="1">
        <f>IF(T$4&lt;=核心参数输入!$B$9,T16-T17,0)</f>
        <v>6.7331249999999727</v>
      </c>
      <c r="U30" s="1">
        <f>IF(U$4&lt;=核心参数输入!$B$9,U16-U17,0)</f>
        <v>6.7331249999999727</v>
      </c>
      <c r="V30" s="1">
        <f>IF(V$4&lt;=核心参数输入!$B$9,V16-V17,0)</f>
        <v>6.7331249999999727</v>
      </c>
      <c r="W30" s="1">
        <f>IF(W$4&lt;=核心参数输入!$B$9,W16-W17,0)</f>
        <v>6.7331249999999727</v>
      </c>
      <c r="X30" s="1">
        <f>IF(X$4&lt;=核心参数输入!$B$9,X16-X17,0)</f>
        <v>6.7331249999999727</v>
      </c>
      <c r="Y30" s="1">
        <f>IF(Y$4&lt;=核心参数输入!$B$9,Y16-Y17,0)</f>
        <v>0</v>
      </c>
      <c r="Z30" s="1">
        <f>IF(Z$4&lt;=核心参数输入!$B$9,Z16-Z17,0)</f>
        <v>0</v>
      </c>
      <c r="AA30" s="1">
        <f>IF(AA$4&lt;=核心参数输入!$B$9,AA16-AA17,0)</f>
        <v>0</v>
      </c>
      <c r="AB30" s="1">
        <f>IF(AB$4&lt;=核心参数输入!$B$9,AB16-AB17,0)</f>
        <v>0</v>
      </c>
      <c r="AC30" s="1">
        <f>IF(AC$4&lt;=核心参数输入!$B$9,AC16-AC17,0)</f>
        <v>0</v>
      </c>
      <c r="AD30" s="1">
        <f>IF(AD$4&lt;=核心参数输入!$B$9,AD16-AD17,0)</f>
        <v>0</v>
      </c>
      <c r="AE30" s="1">
        <f>IF(AE$4&lt;=核心参数输入!$B$9,AE16-AE17,0)</f>
        <v>0</v>
      </c>
      <c r="AF30" s="1">
        <f>IF(AF$4&lt;=核心参数输入!$B$9,AF16-AF17,0)</f>
        <v>0</v>
      </c>
      <c r="AG30" s="1">
        <f>IF(AG$4&lt;=核心参数输入!$B$9,AG16-AG17,0)</f>
        <v>0</v>
      </c>
      <c r="AH30" s="1">
        <f>IF(AH$4&lt;=核心参数输入!$B$9,AH16-AH17,0)</f>
        <v>0</v>
      </c>
    </row>
    <row r="31" spans="1:34" ht="21" customHeight="1">
      <c r="A31" s="11" t="s">
        <v>276</v>
      </c>
      <c r="B31" s="11" t="s">
        <v>54</v>
      </c>
      <c r="D31" s="1">
        <f>IF(D$4&lt;=核心参数输入!$B$9,D26+D30+D27-D28-D29,0)</f>
        <v>-8000</v>
      </c>
      <c r="E31" s="1">
        <f>IF(E$4&lt;=核心参数输入!$B$9,E26+E30+E27-E28-E29,0)</f>
        <v>-7065</v>
      </c>
      <c r="F31" s="1">
        <f>IF(F$4&lt;=核心参数输入!$B$9,F26+F30+F27-F28-F29,0)</f>
        <v>-9798</v>
      </c>
      <c r="G31" s="1">
        <f>IF(G$4&lt;=核心参数输入!$B$9,G26+G30+G27-G28-G29,0)</f>
        <v>-7947</v>
      </c>
      <c r="H31" s="1">
        <f>IF(H$4&lt;=核心参数输入!$B$9,H26+H30+H27-H28-H29,0)</f>
        <v>6931.623073910715</v>
      </c>
      <c r="I31" s="1">
        <f>IF(I$4&lt;=核心参数输入!$B$9,I26+I30+I27-I28-I29,0)</f>
        <v>12006.931523360963</v>
      </c>
      <c r="J31" s="1">
        <f>IF(J$4&lt;=核心参数输入!$B$9,J26+J30+J27-J28-J29,0)</f>
        <v>8246.7600806436894</v>
      </c>
      <c r="K31" s="1">
        <f>IF(K$4&lt;=核心参数输入!$B$9,K26+K30+K27-K28-K29,0)</f>
        <v>-3929.8624529445456</v>
      </c>
      <c r="L31" s="1">
        <f>IF(L$4&lt;=核心参数输入!$B$9,L26+L30+L27-L28-L29,0)</f>
        <v>-3712.7484952521363</v>
      </c>
      <c r="M31" s="1">
        <f>IF(M$4&lt;=核心参数输入!$B$9,M26+M30+M27-M28-M29,0)</f>
        <v>-3516.3276566352042</v>
      </c>
      <c r="N31" s="1">
        <f>IF(N$4&lt;=核心参数输入!$B$9,N26+N30+N27-N28-N29,0)</f>
        <v>-3365.9376802314337</v>
      </c>
      <c r="O31" s="1">
        <f>IF(O$4&lt;=核心参数输入!$B$9,O26+O30+O27-O28-O29,0)</f>
        <v>999.91491246842088</v>
      </c>
      <c r="P31" s="1">
        <f>IF(P$4&lt;=核心参数输入!$B$9,P26+P30+P27-P28-P29,0)</f>
        <v>1012.7174554043415</v>
      </c>
      <c r="Q31" s="1">
        <f>IF(Q$4&lt;=核心参数输入!$B$9,Q26+Q30+Q27-Q28-Q29,0)</f>
        <v>1025.6861910567789</v>
      </c>
      <c r="R31" s="1">
        <f>IF(R$4&lt;=核心参数输入!$B$9,R26+R30+R27-R28-R29,0)</f>
        <v>1038.8230954079302</v>
      </c>
      <c r="S31" s="1">
        <f>IF(S$4&lt;=核心参数输入!$B$9,S26+S30+S27-S28-S29,0)</f>
        <v>1052.130163741555</v>
      </c>
      <c r="T31" s="1">
        <f>IF(T$4&lt;=核心参数输入!$B$9,T26+T30+T27-T28-T29,0)</f>
        <v>1065.6094107257341</v>
      </c>
      <c r="U31" s="1">
        <f>IF(U$4&lt;=核心参数输入!$B$9,U26+U30+U27-U28-U29,0)</f>
        <v>1079.2628704927372</v>
      </c>
      <c r="V31" s="1">
        <f>IF(V$4&lt;=核心参数输入!$B$9,V26+V30+V27-V28-V29,0)</f>
        <v>1093.0925967158676</v>
      </c>
      <c r="W31" s="1">
        <f>IF(W$4&lt;=核心参数输入!$B$9,W26+W30+W27-W28-W29,0)</f>
        <v>1107.1006626831593</v>
      </c>
      <c r="X31" s="1">
        <f>IF(X$4&lt;=核心参数输入!$B$9,X26+X30+X27-X28-X29,0)</f>
        <v>1621.2891613677918</v>
      </c>
      <c r="Y31" s="1">
        <f>IF(Y$4&lt;=核心参数输入!$B$9,Y26+Y30+Y27-Y28-Y29,0)</f>
        <v>0</v>
      </c>
      <c r="Z31" s="1">
        <f>IF(Z$4&lt;=核心参数输入!$B$9,Z26+Z30+Z27-Z28-Z29,0)</f>
        <v>0</v>
      </c>
      <c r="AA31" s="1">
        <f>IF(AA$4&lt;=核心参数输入!$B$9,AA26+AA30+AA27-AA28-AA29,0)</f>
        <v>0</v>
      </c>
      <c r="AB31" s="1">
        <f>IF(AB$4&lt;=核心参数输入!$B$9,AB26+AB30+AB27-AB28-AB29,0)</f>
        <v>0</v>
      </c>
      <c r="AC31" s="1">
        <f>IF(AC$4&lt;=核心参数输入!$B$9,AC26+AC30+AC27-AC28-AC29,0)</f>
        <v>0</v>
      </c>
      <c r="AD31" s="1">
        <f>IF(AD$4&lt;=核心参数输入!$B$9,AD26+AD30+AD27-AD28-AD29,0)</f>
        <v>0</v>
      </c>
      <c r="AE31" s="1">
        <f>IF(AE$4&lt;=核心参数输入!$B$9,AE26+AE30+AE27-AE28-AE29,0)</f>
        <v>0</v>
      </c>
      <c r="AF31" s="1">
        <f>IF(AF$4&lt;=核心参数输入!$B$9,AF26+AF30+AF27-AF28-AF29,0)</f>
        <v>0</v>
      </c>
      <c r="AG31" s="1">
        <f>IF(AG$4&lt;=核心参数输入!$B$9,AG26+AG30+AG27-AG28-AG29,0)</f>
        <v>0</v>
      </c>
      <c r="AH31" s="1">
        <f>IF(AH$4&lt;=核心参数输入!$B$9,AH26+AH30+AH27-AH28-AH29,0)</f>
        <v>0</v>
      </c>
    </row>
    <row r="32" spans="1:34" ht="21" customHeight="1">
      <c r="A32" s="11" t="s">
        <v>277</v>
      </c>
      <c r="B32" s="11" t="s">
        <v>54</v>
      </c>
      <c r="D32" s="1">
        <f>IF(D$4&lt;=核心参数输入!$B$9,MAX(0,E32-E31),0)</f>
        <v>24810</v>
      </c>
      <c r="E32" s="1">
        <f>IF(E$4&lt;=核心参数输入!$B$9,MAX(0,F32-F31),0)</f>
        <v>17745</v>
      </c>
      <c r="F32" s="1">
        <f>IF(F$4&lt;=核心参数输入!$B$9,MAX(0,G32-G31),0)</f>
        <v>7947</v>
      </c>
      <c r="G32" s="1">
        <f>IF(G$4&lt;=核心参数输入!$B$9,MAX(0,H32-H31),0)</f>
        <v>0</v>
      </c>
      <c r="H32" s="1">
        <f>IF(H$4&lt;=核心参数输入!$B$9,MAX(0,I32-I31),0)</f>
        <v>0</v>
      </c>
      <c r="I32" s="1">
        <f>IF(I$4&lt;=核心参数输入!$B$9,MAX(0,J32-J31),0)</f>
        <v>6278.1162044196299</v>
      </c>
      <c r="J32" s="1">
        <f>IF(J$4&lt;=核心参数输入!$B$9,MAX(0,K32-K31),0)</f>
        <v>14524.876285063319</v>
      </c>
      <c r="K32" s="1">
        <f>IF(K$4&lt;=核心参数输入!$B$9,MAX(0,L32-L31),0)</f>
        <v>10595.013832118773</v>
      </c>
      <c r="L32" s="1">
        <f>IF(L$4&lt;=核心参数输入!$B$9,MAX(0,M32-M31),0)</f>
        <v>6882.2653368666379</v>
      </c>
      <c r="M32" s="1">
        <f>IF(M$4&lt;=核心参数输入!$B$9,MAX(0,N32-N31),0)</f>
        <v>3365.9376802314337</v>
      </c>
      <c r="N32" s="1">
        <f>IF(N$4&lt;=核心参数输入!$B$9,MAX(0,O32-O31),0)</f>
        <v>0</v>
      </c>
      <c r="O32" s="1">
        <f>IF(O$4&lt;=核心参数输入!$B$9,MAX(0,P32-P31),0)</f>
        <v>0</v>
      </c>
      <c r="P32" s="1">
        <f>IF(P$4&lt;=核心参数输入!$B$9,MAX(0,Q32-Q31),0)</f>
        <v>0</v>
      </c>
      <c r="Q32" s="1">
        <f>IF(Q$4&lt;=核心参数输入!$B$9,MAX(0,R32-R31),0)</f>
        <v>0</v>
      </c>
      <c r="R32" s="1">
        <f>IF(R$4&lt;=核心参数输入!$B$9,MAX(0,S32-S31),0)</f>
        <v>0</v>
      </c>
      <c r="S32" s="1">
        <f>IF(S$4&lt;=核心参数输入!$B$9,MAX(0,T32-T31),0)</f>
        <v>0</v>
      </c>
      <c r="T32" s="1">
        <f>IF(T$4&lt;=核心参数输入!$B$9,MAX(0,U32-U31),0)</f>
        <v>0</v>
      </c>
      <c r="U32" s="1">
        <f>IF(U$4&lt;=核心参数输入!$B$9,MAX(0,V32-V31),0)</f>
        <v>0</v>
      </c>
      <c r="V32" s="1">
        <f>IF(V$4&lt;=核心参数输入!$B$9,MAX(0,W32-W31),0)</f>
        <v>0</v>
      </c>
      <c r="W32" s="1">
        <f>IF(W$4&lt;=核心参数输入!$B$9,MAX(0,X32-X31),0)</f>
        <v>0</v>
      </c>
      <c r="X32" s="1">
        <f>IF(X$4&lt;=核心参数输入!$B$9,MAX(0,Y32-Y31),0)</f>
        <v>0</v>
      </c>
      <c r="Y32" s="1">
        <f>IF(Y$4&lt;=核心参数输入!$B$9,MAX(0,Z32-Z31),0)</f>
        <v>0</v>
      </c>
      <c r="Z32" s="1">
        <f>IF(Z$4&lt;=核心参数输入!$B$9,MAX(0,AA32-AA31),0)</f>
        <v>0</v>
      </c>
      <c r="AA32" s="1">
        <f>IF(AA$4&lt;=核心参数输入!$B$9,MAX(0,AB32-AB31),0)</f>
        <v>0</v>
      </c>
      <c r="AB32" s="1">
        <f>IF(AB$4&lt;=核心参数输入!$B$9,MAX(0,AC32-AC31),0)</f>
        <v>0</v>
      </c>
      <c r="AC32" s="1">
        <f>IF(AC$4&lt;=核心参数输入!$B$9,MAX(0,AD32-AD31),0)</f>
        <v>0</v>
      </c>
      <c r="AD32" s="1">
        <f>IF(AD$4&lt;=核心参数输入!$B$9,MAX(0,AE32-AE31),0)</f>
        <v>0</v>
      </c>
      <c r="AE32" s="1">
        <f>IF(AE$4&lt;=核心参数输入!$B$9,MAX(0,AF32-AF31),0)</f>
        <v>0</v>
      </c>
      <c r="AF32" s="1">
        <f>IF(AF$4&lt;=核心参数输入!$B$9,MAX(0,AG32-AG31),0)</f>
        <v>0</v>
      </c>
      <c r="AG32" s="1">
        <f>IF(AG$4&lt;=核心参数输入!$B$9,MAX(0,AH32-AH31),0)</f>
        <v>0</v>
      </c>
      <c r="AH32" s="1">
        <f>IF(AH$4&lt;=核心参数输入!$B$9,0,0)</f>
        <v>0</v>
      </c>
    </row>
    <row r="33" spans="1:34" ht="21" customHeight="1">
      <c r="A33" s="11" t="s">
        <v>278</v>
      </c>
      <c r="B33" s="11" t="s">
        <v>54</v>
      </c>
      <c r="D33" s="1">
        <f>IF(D$4&lt;=核心参数输入!$B$9,0,0)</f>
        <v>0</v>
      </c>
      <c r="E33" s="1">
        <f>IF(E$4&lt;=核心参数输入!$B$9,D36,0)</f>
        <v>0</v>
      </c>
      <c r="F33" s="1">
        <f>IF(F$4&lt;=核心参数输入!$B$9,E36,0)</f>
        <v>0</v>
      </c>
      <c r="G33" s="1">
        <f>IF(G$4&lt;=核心参数输入!$B$9,F36,0)</f>
        <v>0</v>
      </c>
      <c r="H33" s="1">
        <f>IF(H$4&lt;=核心参数输入!$B$9,G36,0)</f>
        <v>0</v>
      </c>
      <c r="I33" s="1">
        <f>IF(I$4&lt;=核心参数输入!$B$9,H36,0)</f>
        <v>0</v>
      </c>
      <c r="J33" s="1">
        <f>IF(J$4&lt;=核心参数输入!$B$9,I36,0)</f>
        <v>6278.1162044196299</v>
      </c>
      <c r="K33" s="1">
        <f>IF(K$4&lt;=核心参数输入!$B$9,J36,0)</f>
        <v>14524.876285063319</v>
      </c>
      <c r="L33" s="1">
        <f>IF(L$4&lt;=核心参数输入!$B$9,K36,0)</f>
        <v>10595.013832118773</v>
      </c>
      <c r="M33" s="1">
        <f>IF(M$4&lt;=核心参数输入!$B$9,L36,0)</f>
        <v>6882.265336866637</v>
      </c>
      <c r="N33" s="1">
        <f>IF(N$4&lt;=核心参数输入!$B$9,M36,0)</f>
        <v>3365.9376802314328</v>
      </c>
      <c r="O33" s="1">
        <f>IF(O$4&lt;=核心参数输入!$B$9,N36,0)</f>
        <v>0</v>
      </c>
      <c r="P33" s="1">
        <f>IF(P$4&lt;=核心参数输入!$B$9,O36,0)</f>
        <v>0</v>
      </c>
      <c r="Q33" s="1">
        <f>IF(Q$4&lt;=核心参数输入!$B$9,P36,0)</f>
        <v>0</v>
      </c>
      <c r="R33" s="1">
        <f>IF(R$4&lt;=核心参数输入!$B$9,Q36,0)</f>
        <v>0</v>
      </c>
      <c r="S33" s="1">
        <f>IF(S$4&lt;=核心参数输入!$B$9,R36,0)</f>
        <v>0</v>
      </c>
      <c r="T33" s="1">
        <f>IF(T$4&lt;=核心参数输入!$B$9,S36,0)</f>
        <v>0</v>
      </c>
      <c r="U33" s="1">
        <f>IF(U$4&lt;=核心参数输入!$B$9,T36,0)</f>
        <v>0</v>
      </c>
      <c r="V33" s="1">
        <f>IF(V$4&lt;=核心参数输入!$B$9,U36,0)</f>
        <v>0</v>
      </c>
      <c r="W33" s="1">
        <f>IF(W$4&lt;=核心参数输入!$B$9,V36,0)</f>
        <v>0</v>
      </c>
      <c r="X33" s="1">
        <f>IF(X$4&lt;=核心参数输入!$B$9,W36,0)</f>
        <v>0</v>
      </c>
      <c r="Y33" s="1">
        <f>IF(Y$4&lt;=核心参数输入!$B$9,X36,0)</f>
        <v>0</v>
      </c>
      <c r="Z33" s="1">
        <f>IF(Z$4&lt;=核心参数输入!$B$9,Y36,0)</f>
        <v>0</v>
      </c>
      <c r="AA33" s="1">
        <f>IF(AA$4&lt;=核心参数输入!$B$9,Z36,0)</f>
        <v>0</v>
      </c>
      <c r="AB33" s="1">
        <f>IF(AB$4&lt;=核心参数输入!$B$9,AA36,0)</f>
        <v>0</v>
      </c>
      <c r="AC33" s="1">
        <f>IF(AC$4&lt;=核心参数输入!$B$9,AB36,0)</f>
        <v>0</v>
      </c>
      <c r="AD33" s="1">
        <f>IF(AD$4&lt;=核心参数输入!$B$9,AC36,0)</f>
        <v>0</v>
      </c>
      <c r="AE33" s="1">
        <f>IF(AE$4&lt;=核心参数输入!$B$9,AD36,0)</f>
        <v>0</v>
      </c>
      <c r="AF33" s="1">
        <f>IF(AF$4&lt;=核心参数输入!$B$9,AE36,0)</f>
        <v>0</v>
      </c>
      <c r="AG33" s="1">
        <f>IF(AG$4&lt;=核心参数输入!$B$9,AF36,0)</f>
        <v>0</v>
      </c>
      <c r="AH33" s="1">
        <f>IF(AH$4&lt;=核心参数输入!$B$9,AG36,0)</f>
        <v>0</v>
      </c>
    </row>
    <row r="34" spans="1:34" ht="21" customHeight="1">
      <c r="A34" s="11" t="s">
        <v>279</v>
      </c>
      <c r="B34" s="11" t="s">
        <v>54</v>
      </c>
      <c r="D34" s="1">
        <f>IF(D$4&lt;=核心参数输入!$B$9,MAX(0,-(D33+D31)),0)</f>
        <v>8000</v>
      </c>
      <c r="E34" s="1">
        <f>IF(E$4&lt;=核心参数输入!$B$9,MAX(0,-(E33+E31)),0)</f>
        <v>7065</v>
      </c>
      <c r="F34" s="1">
        <f>IF(F$4&lt;=核心参数输入!$B$9,MAX(0,-(F33+F31)),0)</f>
        <v>9798</v>
      </c>
      <c r="G34" s="1">
        <f>IF(G$4&lt;=核心参数输入!$B$9,MAX(0,-(G33+G31)),0)</f>
        <v>7947</v>
      </c>
      <c r="H34" s="1">
        <f>IF(H$4&lt;=核心参数输入!$B$9,MAX(0,-(H33+H31)),0)</f>
        <v>0</v>
      </c>
      <c r="I34" s="1">
        <f>IF(I$4&lt;=核心参数输入!$B$9,MAX(0,-(I33+I31)),0)</f>
        <v>0</v>
      </c>
      <c r="J34" s="1">
        <f>IF(J$4&lt;=核心参数输入!$B$9,MAX(0,-(J33+J31)),0)</f>
        <v>0</v>
      </c>
      <c r="K34" s="1">
        <f>IF(K$4&lt;=核心参数输入!$B$9,MAX(0,-(K33+K31)),0)</f>
        <v>0</v>
      </c>
      <c r="L34" s="1">
        <f>IF(L$4&lt;=核心参数输入!$B$9,MAX(0,-(L33+L31)),0)</f>
        <v>0</v>
      </c>
      <c r="M34" s="1">
        <f>IF(M$4&lt;=核心参数输入!$B$9,MAX(0,-(M33+M31)),0)</f>
        <v>0</v>
      </c>
      <c r="N34" s="1">
        <f>IF(N$4&lt;=核心参数输入!$B$9,MAX(0,-(N33+N31)),0)</f>
        <v>9.0949470177292824E-13</v>
      </c>
      <c r="O34" s="1">
        <f>IF(O$4&lt;=核心参数输入!$B$9,MAX(0,-(O33+O31)),0)</f>
        <v>0</v>
      </c>
      <c r="P34" s="1">
        <f>IF(P$4&lt;=核心参数输入!$B$9,MAX(0,-(P33+P31)),0)</f>
        <v>0</v>
      </c>
      <c r="Q34" s="1">
        <f>IF(Q$4&lt;=核心参数输入!$B$9,MAX(0,-(Q33+Q31)),0)</f>
        <v>0</v>
      </c>
      <c r="R34" s="1">
        <f>IF(R$4&lt;=核心参数输入!$B$9,MAX(0,-(R33+R31)),0)</f>
        <v>0</v>
      </c>
      <c r="S34" s="1">
        <f>IF(S$4&lt;=核心参数输入!$B$9,MAX(0,-(S33+S31)),0)</f>
        <v>0</v>
      </c>
      <c r="T34" s="1">
        <f>IF(T$4&lt;=核心参数输入!$B$9,MAX(0,-(T33+T31)),0)</f>
        <v>0</v>
      </c>
      <c r="U34" s="1">
        <f>IF(U$4&lt;=核心参数输入!$B$9,MAX(0,-(U33+U31)),0)</f>
        <v>0</v>
      </c>
      <c r="V34" s="1">
        <f>IF(V$4&lt;=核心参数输入!$B$9,MAX(0,-(V33+V31)),0)</f>
        <v>0</v>
      </c>
      <c r="W34" s="1">
        <f>IF(W$4&lt;=核心参数输入!$B$9,MAX(0,-(W33+W31)),0)</f>
        <v>0</v>
      </c>
      <c r="X34" s="1">
        <f>IF(X$4&lt;=核心参数输入!$B$9,MAX(0,-(X33+X31)),0)</f>
        <v>0</v>
      </c>
      <c r="Y34" s="1">
        <f>IF(Y$4&lt;=核心参数输入!$B$9,MAX(0,-(Y33+Y31)),0)</f>
        <v>0</v>
      </c>
      <c r="Z34" s="1">
        <f>IF(Z$4&lt;=核心参数输入!$B$9,MAX(0,-(Z33+Z31)),0)</f>
        <v>0</v>
      </c>
      <c r="AA34" s="1">
        <f>IF(AA$4&lt;=核心参数输入!$B$9,MAX(0,-(AA33+AA31)),0)</f>
        <v>0</v>
      </c>
      <c r="AB34" s="1">
        <f>IF(AB$4&lt;=核心参数输入!$B$9,MAX(0,-(AB33+AB31)),0)</f>
        <v>0</v>
      </c>
      <c r="AC34" s="1">
        <f>IF(AC$4&lt;=核心参数输入!$B$9,MAX(0,-(AC33+AC31)),0)</f>
        <v>0</v>
      </c>
      <c r="AD34" s="1">
        <f>IF(AD$4&lt;=核心参数输入!$B$9,MAX(0,-(AD33+AD31)),0)</f>
        <v>0</v>
      </c>
      <c r="AE34" s="1">
        <f>IF(AE$4&lt;=核心参数输入!$B$9,MAX(0,-(AE33+AE31)),0)</f>
        <v>0</v>
      </c>
      <c r="AF34" s="1">
        <f>IF(AF$4&lt;=核心参数输入!$B$9,MAX(0,-(AF33+AF31)),0)</f>
        <v>0</v>
      </c>
      <c r="AG34" s="1">
        <f>IF(AG$4&lt;=核心参数输入!$B$9,MAX(0,-(AG33+AG31)),0)</f>
        <v>0</v>
      </c>
      <c r="AH34" s="1">
        <f>IF(AH$4&lt;=核心参数输入!$B$9,MAX(0,-(AH33+AH31)),0)</f>
        <v>0</v>
      </c>
    </row>
    <row r="35" spans="1:34" ht="21" customHeight="1">
      <c r="A35" s="11" t="s">
        <v>280</v>
      </c>
      <c r="B35" s="11" t="s">
        <v>54</v>
      </c>
      <c r="D35" s="1">
        <f>IF(D$4&lt;=核心参数输入!$B$9,MAX(0,D33+D31+D34-D32),0)</f>
        <v>0</v>
      </c>
      <c r="E35" s="1">
        <f>IF(E$4&lt;=核心参数输入!$B$9,MAX(0,E33+E31+E34-E32),0)</f>
        <v>0</v>
      </c>
      <c r="F35" s="1">
        <f>IF(F$4&lt;=核心参数输入!$B$9,MAX(0,F33+F31+F34-F32),0)</f>
        <v>0</v>
      </c>
      <c r="G35" s="1">
        <f>IF(G$4&lt;=核心参数输入!$B$9,MAX(0,G33+G31+G34-G32),0)</f>
        <v>0</v>
      </c>
      <c r="H35" s="1">
        <f>IF(H$4&lt;=核心参数输入!$B$9,MAX(0,H33+H31+H34-H32),0)</f>
        <v>6931.623073910715</v>
      </c>
      <c r="I35" s="1">
        <f>IF(I$4&lt;=核心参数输入!$B$9,MAX(0,I33+I31+I34-I32),0)</f>
        <v>5728.8153189413333</v>
      </c>
      <c r="J35" s="1">
        <f>IF(J$4&lt;=核心参数输入!$B$9,MAX(0,J33+J31+J34-J32),0)</f>
        <v>0</v>
      </c>
      <c r="K35" s="1">
        <f>IF(K$4&lt;=核心参数输入!$B$9,MAX(0,K33+K31+K34-K32),0)</f>
        <v>0</v>
      </c>
      <c r="L35" s="1">
        <f>IF(L$4&lt;=核心参数输入!$B$9,MAX(0,L33+L31+L34-L32),0)</f>
        <v>0</v>
      </c>
      <c r="M35" s="1">
        <f>IF(M$4&lt;=核心参数输入!$B$9,MAX(0,M33+M31+M34-M32),0)</f>
        <v>0</v>
      </c>
      <c r="N35" s="1">
        <f>IF(N$4&lt;=核心参数输入!$B$9,MAX(0,N33+N31+N34-N32),0)</f>
        <v>0</v>
      </c>
      <c r="O35" s="1">
        <f>IF(O$4&lt;=核心参数输入!$B$9,MAX(0,O33+O31+O34-O32),0)</f>
        <v>999.91491246842088</v>
      </c>
      <c r="P35" s="1">
        <f>IF(P$4&lt;=核心参数输入!$B$9,MAX(0,P33+P31+P34-P32),0)</f>
        <v>1012.7174554043415</v>
      </c>
      <c r="Q35" s="1">
        <f>IF(Q$4&lt;=核心参数输入!$B$9,MAX(0,Q33+Q31+Q34-Q32),0)</f>
        <v>1025.6861910567789</v>
      </c>
      <c r="R35" s="1">
        <f>IF(R$4&lt;=核心参数输入!$B$9,MAX(0,R33+R31+R34-R32),0)</f>
        <v>1038.8230954079302</v>
      </c>
      <c r="S35" s="1">
        <f>IF(S$4&lt;=核心参数输入!$B$9,MAX(0,S33+S31+S34-S32),0)</f>
        <v>1052.130163741555</v>
      </c>
      <c r="T35" s="1">
        <f>IF(T$4&lt;=核心参数输入!$B$9,MAX(0,T33+T31+T34-T32),0)</f>
        <v>1065.6094107257341</v>
      </c>
      <c r="U35" s="1">
        <f>IF(U$4&lt;=核心参数输入!$B$9,MAX(0,U33+U31+U34-U32),0)</f>
        <v>1079.2628704927372</v>
      </c>
      <c r="V35" s="1">
        <f>IF(V$4&lt;=核心参数输入!$B$9,MAX(0,V33+V31+V34-V32),0)</f>
        <v>1093.0925967158676</v>
      </c>
      <c r="W35" s="1">
        <f>IF(W$4&lt;=核心参数输入!$B$9,MAX(0,W33+W31+W34-W32),0)</f>
        <v>1107.1006626831593</v>
      </c>
      <c r="X35" s="1">
        <f>IF(X$4&lt;=核心参数输入!$B$9,MAX(0,X33+X31+X34-X32),0)</f>
        <v>1621.2891613677918</v>
      </c>
      <c r="Y35" s="1">
        <f>IF(Y$4&lt;=核心参数输入!$B$9,MAX(0,Y33+Y31+Y34-Y32),0)</f>
        <v>0</v>
      </c>
      <c r="Z35" s="1">
        <f>IF(Z$4&lt;=核心参数输入!$B$9,MAX(0,Z33+Z31+Z34-Z32),0)</f>
        <v>0</v>
      </c>
      <c r="AA35" s="1">
        <f>IF(AA$4&lt;=核心参数输入!$B$9,MAX(0,AA33+AA31+AA34-AA32),0)</f>
        <v>0</v>
      </c>
      <c r="AB35" s="1">
        <f>IF(AB$4&lt;=核心参数输入!$B$9,MAX(0,AB33+AB31+AB34-AB32),0)</f>
        <v>0</v>
      </c>
      <c r="AC35" s="1">
        <f>IF(AC$4&lt;=核心参数输入!$B$9,MAX(0,AC33+AC31+AC34-AC32),0)</f>
        <v>0</v>
      </c>
      <c r="AD35" s="1">
        <f>IF(AD$4&lt;=核心参数输入!$B$9,MAX(0,AD33+AD31+AD34-AD32),0)</f>
        <v>0</v>
      </c>
      <c r="AE35" s="1">
        <f>IF(AE$4&lt;=核心参数输入!$B$9,MAX(0,AE33+AE31+AE34-AE32),0)</f>
        <v>0</v>
      </c>
      <c r="AF35" s="1">
        <f>IF(AF$4&lt;=核心参数输入!$B$9,MAX(0,AF33+AF31+AF34-AF32),0)</f>
        <v>0</v>
      </c>
      <c r="AG35" s="1">
        <f>IF(AG$4&lt;=核心参数输入!$B$9,MAX(0,AG33+AG31+AG34-AG32),0)</f>
        <v>0</v>
      </c>
      <c r="AH35" s="1">
        <f>IF(AH$4&lt;=核心参数输入!$B$9,MAX(0,AH33+AH31+AH34-AH32),0)</f>
        <v>0</v>
      </c>
    </row>
    <row r="36" spans="1:34" ht="21" customHeight="1">
      <c r="A36" s="11" t="s">
        <v>281</v>
      </c>
      <c r="B36" s="11" t="s">
        <v>54</v>
      </c>
      <c r="D36" s="1">
        <f>IF(D$4&lt;=核心参数输入!$B$9,D33+D31+D34-D35,0)</f>
        <v>0</v>
      </c>
      <c r="E36" s="1">
        <f>IF(E$4&lt;=核心参数输入!$B$9,E33+E31+E34-E35,0)</f>
        <v>0</v>
      </c>
      <c r="F36" s="1">
        <f>IF(F$4&lt;=核心参数输入!$B$9,F33+F31+F34-F35,0)</f>
        <v>0</v>
      </c>
      <c r="G36" s="1">
        <f>IF(G$4&lt;=核心参数输入!$B$9,G33+G31+G34-G35,0)</f>
        <v>0</v>
      </c>
      <c r="H36" s="1">
        <f>IF(H$4&lt;=核心参数输入!$B$9,H33+H31+H34-H35,0)</f>
        <v>0</v>
      </c>
      <c r="I36" s="1">
        <f>IF(I$4&lt;=核心参数输入!$B$9,I33+I31+I34-I35,0)</f>
        <v>6278.1162044196299</v>
      </c>
      <c r="J36" s="1">
        <f>IF(J$4&lt;=核心参数输入!$B$9,J33+J31+J34-J35,0)</f>
        <v>14524.876285063319</v>
      </c>
      <c r="K36" s="1">
        <f>IF(K$4&lt;=核心参数输入!$B$9,K33+K31+K34-K35,0)</f>
        <v>10595.013832118773</v>
      </c>
      <c r="L36" s="1">
        <f>IF(L$4&lt;=核心参数输入!$B$9,L33+L31+L34-L35,0)</f>
        <v>6882.265336866637</v>
      </c>
      <c r="M36" s="1">
        <f>IF(M$4&lt;=核心参数输入!$B$9,M33+M31+M34-M35,0)</f>
        <v>3365.9376802314328</v>
      </c>
      <c r="N36" s="1">
        <f>IF(N$4&lt;=核心参数输入!$B$9,N33+N31+N34-N35,0)</f>
        <v>0</v>
      </c>
      <c r="O36" s="1">
        <f>IF(O$4&lt;=核心参数输入!$B$9,O33+O31+O34-O35,0)</f>
        <v>0</v>
      </c>
      <c r="P36" s="1">
        <f>IF(P$4&lt;=核心参数输入!$B$9,P33+P31+P34-P35,0)</f>
        <v>0</v>
      </c>
      <c r="Q36" s="1">
        <f>IF(Q$4&lt;=核心参数输入!$B$9,Q33+Q31+Q34-Q35,0)</f>
        <v>0</v>
      </c>
      <c r="R36" s="1">
        <f>IF(R$4&lt;=核心参数输入!$B$9,R33+R31+R34-R35,0)</f>
        <v>0</v>
      </c>
      <c r="S36" s="1">
        <f>IF(S$4&lt;=核心参数输入!$B$9,S33+S31+S34-S35,0)</f>
        <v>0</v>
      </c>
      <c r="T36" s="1">
        <f>IF(T$4&lt;=核心参数输入!$B$9,T33+T31+T34-T35,0)</f>
        <v>0</v>
      </c>
      <c r="U36" s="1">
        <f>IF(U$4&lt;=核心参数输入!$B$9,U33+U31+U34-U35,0)</f>
        <v>0</v>
      </c>
      <c r="V36" s="1">
        <f>IF(V$4&lt;=核心参数输入!$B$9,V33+V31+V34-V35,0)</f>
        <v>0</v>
      </c>
      <c r="W36" s="1">
        <f>IF(W$4&lt;=核心参数输入!$B$9,W33+W31+W34-W35,0)</f>
        <v>0</v>
      </c>
      <c r="X36" s="1">
        <f>IF(X$4&lt;=核心参数输入!$B$9,X33+X31+X34-X35,0)</f>
        <v>0</v>
      </c>
      <c r="Y36" s="1">
        <f>IF(Y$4&lt;=核心参数输入!$B$9,Y33+Y31+Y34-Y35,0)</f>
        <v>0</v>
      </c>
      <c r="Z36" s="1">
        <f>IF(Z$4&lt;=核心参数输入!$B$9,Z33+Z31+Z34-Z35,0)</f>
        <v>0</v>
      </c>
      <c r="AA36" s="1">
        <f>IF(AA$4&lt;=核心参数输入!$B$9,AA33+AA31+AA34-AA35,0)</f>
        <v>0</v>
      </c>
      <c r="AB36" s="1">
        <f>IF(AB$4&lt;=核心参数输入!$B$9,AB33+AB31+AB34-AB35,0)</f>
        <v>0</v>
      </c>
      <c r="AC36" s="1">
        <f>IF(AC$4&lt;=核心参数输入!$B$9,AC33+AC31+AC34-AC35,0)</f>
        <v>0</v>
      </c>
      <c r="AD36" s="1">
        <f>IF(AD$4&lt;=核心参数输入!$B$9,AD33+AD31+AD34-AD35,0)</f>
        <v>0</v>
      </c>
      <c r="AE36" s="1">
        <f>IF(AE$4&lt;=核心参数输入!$B$9,AE33+AE31+AE34-AE35,0)</f>
        <v>0</v>
      </c>
      <c r="AF36" s="1">
        <f>IF(AF$4&lt;=核心参数输入!$B$9,AF33+AF31+AF34-AF35,0)</f>
        <v>0</v>
      </c>
      <c r="AG36" s="1">
        <f>IF(AG$4&lt;=核心参数输入!$B$9,AG33+AG31+AG34-AG35,0)</f>
        <v>0</v>
      </c>
      <c r="AH36" s="1">
        <f>IF(AH$4&lt;=核心参数输入!$B$9,AH33+AH31+AH34-AH35,0)</f>
        <v>0</v>
      </c>
    </row>
    <row r="37" spans="1:34" ht="21" customHeight="1">
      <c r="A37" s="11" t="s">
        <v>282</v>
      </c>
      <c r="B37" s="11" t="s">
        <v>54</v>
      </c>
      <c r="D37" s="1">
        <f>IF(D$4&lt;=核心参数输入!$B$9,0+D34,0)</f>
        <v>8000</v>
      </c>
      <c r="E37" s="1">
        <f>IF(E$4&lt;=核心参数输入!$B$9,D37+E34,0)</f>
        <v>15065</v>
      </c>
      <c r="F37" s="1">
        <f>IF(F$4&lt;=核心参数输入!$B$9,E37+F34,0)</f>
        <v>24863</v>
      </c>
      <c r="G37" s="1">
        <f>IF(G$4&lt;=核心参数输入!$B$9,F37+G34,0)</f>
        <v>32810</v>
      </c>
      <c r="H37" s="1">
        <f>IF(H$4&lt;=核心参数输入!$B$9,G37+H34,0)</f>
        <v>32810</v>
      </c>
      <c r="I37" s="1">
        <f>IF(I$4&lt;=核心参数输入!$B$9,H37+I34,0)</f>
        <v>32810</v>
      </c>
      <c r="J37" s="1">
        <f>IF(J$4&lt;=核心参数输入!$B$9,I37+J34,0)</f>
        <v>32810</v>
      </c>
      <c r="K37" s="1">
        <f>IF(K$4&lt;=核心参数输入!$B$9,J37+K34,0)</f>
        <v>32810</v>
      </c>
      <c r="L37" s="1">
        <f>IF(L$4&lt;=核心参数输入!$B$9,K37+L34,0)</f>
        <v>32810</v>
      </c>
      <c r="M37" s="1">
        <f>IF(M$4&lt;=核心参数输入!$B$9,L37+M34,0)</f>
        <v>32810</v>
      </c>
      <c r="N37" s="1">
        <f>IF(N$4&lt;=核心参数输入!$B$9,M37+N34,0)</f>
        <v>32810</v>
      </c>
      <c r="O37" s="1">
        <f>IF(O$4&lt;=核心参数输入!$B$9,N37+O34,0)</f>
        <v>32810</v>
      </c>
      <c r="P37" s="1">
        <f>IF(P$4&lt;=核心参数输入!$B$9,O37+P34,0)</f>
        <v>32810</v>
      </c>
      <c r="Q37" s="1">
        <f>IF(Q$4&lt;=核心参数输入!$B$9,P37+Q34,0)</f>
        <v>32810</v>
      </c>
      <c r="R37" s="1">
        <f>IF(R$4&lt;=核心参数输入!$B$9,Q37+R34,0)</f>
        <v>32810</v>
      </c>
      <c r="S37" s="1">
        <f>IF(S$4&lt;=核心参数输入!$B$9,R37+S34,0)</f>
        <v>32810</v>
      </c>
      <c r="T37" s="1">
        <f>IF(T$4&lt;=核心参数输入!$B$9,S37+T34,0)</f>
        <v>32810</v>
      </c>
      <c r="U37" s="1">
        <f>IF(U$4&lt;=核心参数输入!$B$9,T37+U34,0)</f>
        <v>32810</v>
      </c>
      <c r="V37" s="1">
        <f>IF(V$4&lt;=核心参数输入!$B$9,U37+V34,0)</f>
        <v>32810</v>
      </c>
      <c r="W37" s="1">
        <f>IF(W$4&lt;=核心参数输入!$B$9,V37+W34,0)</f>
        <v>32810</v>
      </c>
      <c r="X37" s="1">
        <f>IF(X$4&lt;=核心参数输入!$B$9,W37+X34,0)</f>
        <v>32810</v>
      </c>
      <c r="Y37" s="1">
        <f>IF(Y$4&lt;=核心参数输入!$B$9,X37+Y34,0)</f>
        <v>0</v>
      </c>
      <c r="Z37" s="1">
        <f>IF(Z$4&lt;=核心参数输入!$B$9,Y37+Z34,0)</f>
        <v>0</v>
      </c>
      <c r="AA37" s="1">
        <f>IF(AA$4&lt;=核心参数输入!$B$9,Z37+AA34,0)</f>
        <v>0</v>
      </c>
      <c r="AB37" s="1">
        <f>IF(AB$4&lt;=核心参数输入!$B$9,AA37+AB34,0)</f>
        <v>0</v>
      </c>
      <c r="AC37" s="1">
        <f>IF(AC$4&lt;=核心参数输入!$B$9,AB37+AC34,0)</f>
        <v>0</v>
      </c>
      <c r="AD37" s="1">
        <f>IF(AD$4&lt;=核心参数输入!$B$9,AC37+AD34,0)</f>
        <v>0</v>
      </c>
      <c r="AE37" s="1">
        <f>IF(AE$4&lt;=核心参数输入!$B$9,AD37+AE34,0)</f>
        <v>0</v>
      </c>
      <c r="AF37" s="1">
        <f>IF(AF$4&lt;=核心参数输入!$B$9,AE37+AF34,0)</f>
        <v>0</v>
      </c>
      <c r="AG37" s="1">
        <f>IF(AG$4&lt;=核心参数输入!$B$9,AF37+AG34,0)</f>
        <v>0</v>
      </c>
      <c r="AH37" s="1">
        <f>IF(AH$4&lt;=核心参数输入!$B$9,AG37+AH34,0)</f>
        <v>0</v>
      </c>
    </row>
    <row r="38" spans="1:34" ht="21" customHeight="1">
      <c r="A38" s="11" t="s">
        <v>283</v>
      </c>
      <c r="B38" s="11" t="s">
        <v>54</v>
      </c>
      <c r="D38" s="1">
        <f>IF(D$4&lt;=核心参数输入!$B$9,D35-D34,0)</f>
        <v>-8000</v>
      </c>
      <c r="E38" s="1">
        <f>IF(E$4&lt;=核心参数输入!$B$9,E35-E34,0)</f>
        <v>-7065</v>
      </c>
      <c r="F38" s="1">
        <f>IF(F$4&lt;=核心参数输入!$B$9,F35-F34,0)</f>
        <v>-9798</v>
      </c>
      <c r="G38" s="1">
        <f>IF(G$4&lt;=核心参数输入!$B$9,G35-G34,0)</f>
        <v>-7947</v>
      </c>
      <c r="H38" s="1">
        <f>IF(H$4&lt;=核心参数输入!$B$9,H35-H34,0)</f>
        <v>6931.623073910715</v>
      </c>
      <c r="I38" s="1">
        <f>IF(I$4&lt;=核心参数输入!$B$9,I35-I34,0)</f>
        <v>5728.8153189413333</v>
      </c>
      <c r="J38" s="1">
        <f>IF(J$4&lt;=核心参数输入!$B$9,J35-J34,0)</f>
        <v>0</v>
      </c>
      <c r="K38" s="1">
        <f>IF(K$4&lt;=核心参数输入!$B$9,K35-K34,0)</f>
        <v>0</v>
      </c>
      <c r="L38" s="1">
        <f>IF(L$4&lt;=核心参数输入!$B$9,L35-L34,0)</f>
        <v>0</v>
      </c>
      <c r="M38" s="1">
        <f>IF(M$4&lt;=核心参数输入!$B$9,M35-M34,0)</f>
        <v>0</v>
      </c>
      <c r="N38" s="1">
        <f>IF(N$4&lt;=核心参数输入!$B$9,N35-N34,0)</f>
        <v>-9.0949470177292824E-13</v>
      </c>
      <c r="O38" s="1">
        <f>IF(O$4&lt;=核心参数输入!$B$9,O35-O34,0)</f>
        <v>999.91491246842088</v>
      </c>
      <c r="P38" s="1">
        <f>IF(P$4&lt;=核心参数输入!$B$9,P35-P34,0)</f>
        <v>1012.7174554043415</v>
      </c>
      <c r="Q38" s="1">
        <f>IF(Q$4&lt;=核心参数输入!$B$9,Q35-Q34,0)</f>
        <v>1025.6861910567789</v>
      </c>
      <c r="R38" s="1">
        <f>IF(R$4&lt;=核心参数输入!$B$9,R35-R34,0)</f>
        <v>1038.8230954079302</v>
      </c>
      <c r="S38" s="1">
        <f>IF(S$4&lt;=核心参数输入!$B$9,S35-S34,0)</f>
        <v>1052.130163741555</v>
      </c>
      <c r="T38" s="1">
        <f>IF(T$4&lt;=核心参数输入!$B$9,T35-T34,0)</f>
        <v>1065.6094107257341</v>
      </c>
      <c r="U38" s="1">
        <f>IF(U$4&lt;=核心参数输入!$B$9,U35-U34,0)</f>
        <v>1079.2628704927372</v>
      </c>
      <c r="V38" s="1">
        <f>IF(V$4&lt;=核心参数输入!$B$9,V35-V34,0)</f>
        <v>1093.0925967158676</v>
      </c>
      <c r="W38" s="1">
        <f>IF(W$4&lt;=核心参数输入!$B$9,W35-W34,0)</f>
        <v>1107.1006626831593</v>
      </c>
      <c r="X38" s="1">
        <f>IF(X$4&lt;=核心参数输入!$B$9,X35-X34,0)</f>
        <v>1621.2891613677918</v>
      </c>
      <c r="Y38" s="1">
        <f>IF(Y$4&lt;=核心参数输入!$B$9,Y35-Y34,0)</f>
        <v>0</v>
      </c>
      <c r="Z38" s="1">
        <f>IF(Z$4&lt;=核心参数输入!$B$9,Z35-Z34,0)</f>
        <v>0</v>
      </c>
      <c r="AA38" s="1">
        <f>IF(AA$4&lt;=核心参数输入!$B$9,AA35-AA34,0)</f>
        <v>0</v>
      </c>
      <c r="AB38" s="1">
        <f>IF(AB$4&lt;=核心参数输入!$B$9,AB35-AB34,0)</f>
        <v>0</v>
      </c>
      <c r="AC38" s="1">
        <f>IF(AC$4&lt;=核心参数输入!$B$9,AC35-AC34,0)</f>
        <v>0</v>
      </c>
      <c r="AD38" s="1">
        <f>IF(AD$4&lt;=核心参数输入!$B$9,AD35-AD34,0)</f>
        <v>0</v>
      </c>
      <c r="AE38" s="1">
        <f>IF(AE$4&lt;=核心参数输入!$B$9,AE35-AE34,0)</f>
        <v>0</v>
      </c>
      <c r="AF38" s="1">
        <f>IF(AF$4&lt;=核心参数输入!$B$9,AF35-AF34,0)</f>
        <v>0</v>
      </c>
      <c r="AG38" s="1">
        <f>IF(AG$4&lt;=核心参数输入!$B$9,AG35-AG34,0)</f>
        <v>0</v>
      </c>
      <c r="AH38" s="1">
        <f>IF(AH$4&lt;=核心参数输入!$B$9,AH35-AH34,0)</f>
        <v>0</v>
      </c>
    </row>
    <row r="39" spans="1:34" ht="21" customHeight="1">
      <c r="A39" s="11" t="s">
        <v>284</v>
      </c>
      <c r="B39" s="11" t="s">
        <v>54</v>
      </c>
      <c r="D39" s="1">
        <f>IF(D$4&lt;=核心参数输入!$B$9,0,0)</f>
        <v>0</v>
      </c>
      <c r="E39" s="1">
        <f>IF(E$4&lt;=核心参数输入!$B$9,D44,0)</f>
        <v>0</v>
      </c>
      <c r="F39" s="1">
        <f>IF(F$4&lt;=核心参数输入!$B$9,E44,0)</f>
        <v>0</v>
      </c>
      <c r="G39" s="1">
        <f>IF(G$4&lt;=核心参数输入!$B$9,F44,0)</f>
        <v>0</v>
      </c>
      <c r="H39" s="1">
        <f>IF(H$4&lt;=核心参数输入!$B$9,G44,0)</f>
        <v>0</v>
      </c>
      <c r="I39" s="1">
        <f>IF(I$4&lt;=核心参数输入!$B$9,H44,0)</f>
        <v>0</v>
      </c>
      <c r="J39" s="1">
        <f>IF(J$4&lt;=核心参数输入!$B$9,I44,0)</f>
        <v>6278.1162044196299</v>
      </c>
      <c r="K39" s="1">
        <f>IF(K$4&lt;=核心参数输入!$B$9,J44,0)</f>
        <v>14524.876285063319</v>
      </c>
      <c r="L39" s="1">
        <f>IF(L$4&lt;=核心参数输入!$B$9,K44,0)</f>
        <v>10595.013832118773</v>
      </c>
      <c r="M39" s="1">
        <f>IF(M$4&lt;=核心参数输入!$B$9,L44,0)</f>
        <v>6882.265336866637</v>
      </c>
      <c r="N39" s="1">
        <f>IF(N$4&lt;=核心参数输入!$B$9,M44,0)</f>
        <v>3365.9376802314328</v>
      </c>
      <c r="O39" s="1">
        <f>IF(O$4&lt;=核心参数输入!$B$9,N44,0)</f>
        <v>0</v>
      </c>
      <c r="P39" s="1">
        <f>IF(P$4&lt;=核心参数输入!$B$9,O44,0)</f>
        <v>0</v>
      </c>
      <c r="Q39" s="1">
        <f>IF(Q$4&lt;=核心参数输入!$B$9,P44,0)</f>
        <v>0</v>
      </c>
      <c r="R39" s="1">
        <f>IF(R$4&lt;=核心参数输入!$B$9,Q44,0)</f>
        <v>0</v>
      </c>
      <c r="S39" s="1">
        <f>IF(S$4&lt;=核心参数输入!$B$9,R44,0)</f>
        <v>0</v>
      </c>
      <c r="T39" s="1">
        <f>IF(T$4&lt;=核心参数输入!$B$9,S44,0)</f>
        <v>0</v>
      </c>
      <c r="U39" s="1">
        <f>IF(U$4&lt;=核心参数输入!$B$9,T44,0)</f>
        <v>0</v>
      </c>
      <c r="V39" s="1">
        <f>IF(V$4&lt;=核心参数输入!$B$9,U44,0)</f>
        <v>0</v>
      </c>
      <c r="W39" s="1">
        <f>IF(W$4&lt;=核心参数输入!$B$9,V44,0)</f>
        <v>0</v>
      </c>
      <c r="X39" s="1">
        <f>IF(X$4&lt;=核心参数输入!$B$9,W44,0)</f>
        <v>0</v>
      </c>
      <c r="Y39" s="1">
        <f>IF(Y$4&lt;=核心参数输入!$B$9,X44,0)</f>
        <v>0</v>
      </c>
      <c r="Z39" s="1">
        <f>IF(Z$4&lt;=核心参数输入!$B$9,Y44,0)</f>
        <v>0</v>
      </c>
      <c r="AA39" s="1">
        <f>IF(AA$4&lt;=核心参数输入!$B$9,Z44,0)</f>
        <v>0</v>
      </c>
      <c r="AB39" s="1">
        <f>IF(AB$4&lt;=核心参数输入!$B$9,AA44,0)</f>
        <v>0</v>
      </c>
      <c r="AC39" s="1">
        <f>IF(AC$4&lt;=核心参数输入!$B$9,AB44,0)</f>
        <v>0</v>
      </c>
      <c r="AD39" s="1">
        <f>IF(AD$4&lt;=核心参数输入!$B$9,AC44,0)</f>
        <v>0</v>
      </c>
      <c r="AE39" s="1">
        <f>IF(AE$4&lt;=核心参数输入!$B$9,AD44,0)</f>
        <v>0</v>
      </c>
      <c r="AF39" s="1">
        <f>IF(AF$4&lt;=核心参数输入!$B$9,AE44,0)</f>
        <v>0</v>
      </c>
      <c r="AG39" s="1">
        <f>IF(AG$4&lt;=核心参数输入!$B$9,AF44,0)</f>
        <v>0</v>
      </c>
      <c r="AH39" s="1">
        <f>IF(AH$4&lt;=核心参数输入!$B$9,AG44,0)</f>
        <v>0</v>
      </c>
    </row>
    <row r="40" spans="1:34" ht="21" customHeight="1">
      <c r="A40" s="11" t="s">
        <v>285</v>
      </c>
      <c r="B40" s="11" t="s">
        <v>54</v>
      </c>
      <c r="D40" s="1">
        <f>IF(D$4&lt;=核心参数输入!$B$9,0,0)</f>
        <v>0</v>
      </c>
      <c r="E40" s="1">
        <f>IF(E$4&lt;=核心参数输入!$B$9,D45,0)</f>
        <v>0</v>
      </c>
      <c r="F40" s="1">
        <f>IF(F$4&lt;=核心参数输入!$B$9,E45,0)</f>
        <v>0</v>
      </c>
      <c r="G40" s="1">
        <f>IF(G$4&lt;=核心参数输入!$B$9,F45,0)</f>
        <v>0</v>
      </c>
      <c r="H40" s="1">
        <f>IF(H$4&lt;=核心参数输入!$B$9,G45,0)</f>
        <v>0</v>
      </c>
      <c r="I40" s="1">
        <f>IF(I$4&lt;=核心参数输入!$B$9,H45,0)</f>
        <v>0</v>
      </c>
      <c r="J40" s="1">
        <f>IF(J$4&lt;=核心参数输入!$B$9,I45,0)</f>
        <v>0</v>
      </c>
      <c r="K40" s="1">
        <f>IF(K$4&lt;=核心参数输入!$B$9,J45,0)</f>
        <v>0</v>
      </c>
      <c r="L40" s="1">
        <f>IF(L$4&lt;=核心参数输入!$B$9,K45,0)</f>
        <v>0</v>
      </c>
      <c r="M40" s="1">
        <f>IF(M$4&lt;=核心参数输入!$B$9,L45,0)</f>
        <v>0</v>
      </c>
      <c r="N40" s="1">
        <f>IF(N$4&lt;=核心参数输入!$B$9,M45,0)</f>
        <v>0</v>
      </c>
      <c r="O40" s="1">
        <f>IF(O$4&lt;=核心参数输入!$B$9,N45,0)</f>
        <v>0</v>
      </c>
      <c r="P40" s="1">
        <f>IF(P$4&lt;=核心参数输入!$B$9,O45,0)</f>
        <v>0</v>
      </c>
      <c r="Q40" s="1">
        <f>IF(Q$4&lt;=核心参数输入!$B$9,P45,0)</f>
        <v>0</v>
      </c>
      <c r="R40" s="1">
        <f>IF(R$4&lt;=核心参数输入!$B$9,Q45,0)</f>
        <v>0</v>
      </c>
      <c r="S40" s="1">
        <f>IF(S$4&lt;=核心参数输入!$B$9,R45,0)</f>
        <v>0</v>
      </c>
      <c r="T40" s="1">
        <f>IF(T$4&lt;=核心参数输入!$B$9,S45,0)</f>
        <v>0</v>
      </c>
      <c r="U40" s="1">
        <f>IF(U$4&lt;=核心参数输入!$B$9,T45,0)</f>
        <v>0</v>
      </c>
      <c r="V40" s="1">
        <f>IF(V$4&lt;=核心参数输入!$B$9,U45,0)</f>
        <v>0</v>
      </c>
      <c r="W40" s="1">
        <f>IF(W$4&lt;=核心参数输入!$B$9,V45,0)</f>
        <v>0</v>
      </c>
      <c r="X40" s="1">
        <f>IF(X$4&lt;=核心参数输入!$B$9,W45,0)</f>
        <v>0</v>
      </c>
      <c r="Y40" s="1">
        <f>IF(Y$4&lt;=核心参数输入!$B$9,X45,0)</f>
        <v>0</v>
      </c>
      <c r="Z40" s="1">
        <f>IF(Z$4&lt;=核心参数输入!$B$9,Y45,0)</f>
        <v>0</v>
      </c>
      <c r="AA40" s="1">
        <f>IF(AA$4&lt;=核心参数输入!$B$9,Z45,0)</f>
        <v>0</v>
      </c>
      <c r="AB40" s="1">
        <f>IF(AB$4&lt;=核心参数输入!$B$9,AA45,0)</f>
        <v>0</v>
      </c>
      <c r="AC40" s="1">
        <f>IF(AC$4&lt;=核心参数输入!$B$9,AB45,0)</f>
        <v>0</v>
      </c>
      <c r="AD40" s="1">
        <f>IF(AD$4&lt;=核心参数输入!$B$9,AC45,0)</f>
        <v>0</v>
      </c>
      <c r="AE40" s="1">
        <f>IF(AE$4&lt;=核心参数输入!$B$9,AD45,0)</f>
        <v>0</v>
      </c>
      <c r="AF40" s="1">
        <f>IF(AF$4&lt;=核心参数输入!$B$9,AE45,0)</f>
        <v>0</v>
      </c>
      <c r="AG40" s="1">
        <f>IF(AG$4&lt;=核心参数输入!$B$9,AF45,0)</f>
        <v>0</v>
      </c>
      <c r="AH40" s="1">
        <f>IF(AH$4&lt;=核心参数输入!$B$9,AG45,0)</f>
        <v>0</v>
      </c>
    </row>
    <row r="41" spans="1:34" ht="21" customHeight="1">
      <c r="A41" s="11" t="s">
        <v>286</v>
      </c>
      <c r="B41" s="11" t="s">
        <v>54</v>
      </c>
      <c r="D41" s="1">
        <f>IF(D$4&lt;=核心参数输入!$B$9,MAX(0,-(D39+D31-D40)),0)</f>
        <v>8000</v>
      </c>
      <c r="E41" s="1">
        <f>IF(E$4&lt;=核心参数输入!$B$9,MAX(0,-(E39+E31-E40)),0)</f>
        <v>7065</v>
      </c>
      <c r="F41" s="1">
        <f>IF(F$4&lt;=核心参数输入!$B$9,MAX(0,-(F39+F31-F40)),0)</f>
        <v>9798</v>
      </c>
      <c r="G41" s="1">
        <f>IF(G$4&lt;=核心参数输入!$B$9,MAX(0,-(G39+G31-G40)),0)</f>
        <v>7947</v>
      </c>
      <c r="H41" s="1">
        <f>IF(H$4&lt;=核心参数输入!$B$9,MAX(0,-(H39+H31-H40)),0)</f>
        <v>0</v>
      </c>
      <c r="I41" s="1">
        <f>IF(I$4&lt;=核心参数输入!$B$9,MAX(0,-(I39+I31-I40)),0)</f>
        <v>0</v>
      </c>
      <c r="J41" s="1">
        <f>IF(J$4&lt;=核心参数输入!$B$9,MAX(0,-(J39+J31-J40)),0)</f>
        <v>0</v>
      </c>
      <c r="K41" s="1">
        <f>IF(K$4&lt;=核心参数输入!$B$9,MAX(0,-(K39+K31-K40)),0)</f>
        <v>0</v>
      </c>
      <c r="L41" s="1">
        <f>IF(L$4&lt;=核心参数输入!$B$9,MAX(0,-(L39+L31-L40)),0)</f>
        <v>0</v>
      </c>
      <c r="M41" s="1">
        <f>IF(M$4&lt;=核心参数输入!$B$9,MAX(0,-(M39+M31-M40)),0)</f>
        <v>0</v>
      </c>
      <c r="N41" s="1">
        <f>IF(N$4&lt;=核心参数输入!$B$9,MAX(0,-(N39+N31-N40)),0)</f>
        <v>9.0949470177292824E-13</v>
      </c>
      <c r="O41" s="1">
        <f>IF(O$4&lt;=核心参数输入!$B$9,MAX(0,-(O39+O31-O40)),0)</f>
        <v>0</v>
      </c>
      <c r="P41" s="1">
        <f>IF(P$4&lt;=核心参数输入!$B$9,MAX(0,-(P39+P31-P40)),0)</f>
        <v>0</v>
      </c>
      <c r="Q41" s="1">
        <f>IF(Q$4&lt;=核心参数输入!$B$9,MAX(0,-(Q39+Q31-Q40)),0)</f>
        <v>0</v>
      </c>
      <c r="R41" s="1">
        <f>IF(R$4&lt;=核心参数输入!$B$9,MAX(0,-(R39+R31-R40)),0)</f>
        <v>0</v>
      </c>
      <c r="S41" s="1">
        <f>IF(S$4&lt;=核心参数输入!$B$9,MAX(0,-(S39+S31-S40)),0)</f>
        <v>0</v>
      </c>
      <c r="T41" s="1">
        <f>IF(T$4&lt;=核心参数输入!$B$9,MAX(0,-(T39+T31-T40)),0)</f>
        <v>0</v>
      </c>
      <c r="U41" s="1">
        <f>IF(U$4&lt;=核心参数输入!$B$9,MAX(0,-(U39+U31-U40)),0)</f>
        <v>0</v>
      </c>
      <c r="V41" s="1">
        <f>IF(V$4&lt;=核心参数输入!$B$9,MAX(0,-(V39+V31-V40)),0)</f>
        <v>0</v>
      </c>
      <c r="W41" s="1">
        <f>IF(W$4&lt;=核心参数输入!$B$9,MAX(0,-(W39+W31-W40)),0)</f>
        <v>0</v>
      </c>
      <c r="X41" s="1">
        <f>IF(X$4&lt;=核心参数输入!$B$9,MAX(0,-(X39+X31-X40)),0)</f>
        <v>0</v>
      </c>
      <c r="Y41" s="1">
        <f>IF(Y$4&lt;=核心参数输入!$B$9,MAX(0,-(Y39+Y31-Y40)),0)</f>
        <v>0</v>
      </c>
      <c r="Z41" s="1">
        <f>IF(Z$4&lt;=核心参数输入!$B$9,MAX(0,-(Z39+Z31-Z40)),0)</f>
        <v>0</v>
      </c>
      <c r="AA41" s="1">
        <f>IF(AA$4&lt;=核心参数输入!$B$9,MAX(0,-(AA39+AA31-AA40)),0)</f>
        <v>0</v>
      </c>
      <c r="AB41" s="1">
        <f>IF(AB$4&lt;=核心参数输入!$B$9,MAX(0,-(AB39+AB31-AB40)),0)</f>
        <v>0</v>
      </c>
      <c r="AC41" s="1">
        <f>IF(AC$4&lt;=核心参数输入!$B$9,MAX(0,-(AC39+AC31-AC40)),0)</f>
        <v>0</v>
      </c>
      <c r="AD41" s="1">
        <f>IF(AD$4&lt;=核心参数输入!$B$9,MAX(0,-(AD39+AD31-AD40)),0)</f>
        <v>0</v>
      </c>
      <c r="AE41" s="1">
        <f>IF(AE$4&lt;=核心参数输入!$B$9,MAX(0,-(AE39+AE31-AE40)),0)</f>
        <v>0</v>
      </c>
      <c r="AF41" s="1">
        <f>IF(AF$4&lt;=核心参数输入!$B$9,MAX(0,-(AF39+AF31-AF40)),0)</f>
        <v>0</v>
      </c>
      <c r="AG41" s="1">
        <f>IF(AG$4&lt;=核心参数输入!$B$9,MAX(0,-(AG39+AG31-AG40)),0)</f>
        <v>0</v>
      </c>
      <c r="AH41" s="1">
        <f>IF(AH$4&lt;=核心参数输入!$B$9,MAX(0,-(AH39+AH31-AH40)),0)</f>
        <v>0</v>
      </c>
    </row>
    <row r="42" spans="1:34" ht="21" customHeight="1">
      <c r="A42" s="11" t="s">
        <v>287</v>
      </c>
      <c r="B42" s="11" t="s">
        <v>54</v>
      </c>
      <c r="D42" s="1">
        <f>IF(D$4&lt;=核心参数输入!$B$9,MIN(D41,MAX(0,核心参数输入!$B$61-0)),0)</f>
        <v>8000</v>
      </c>
      <c r="E42" s="1">
        <f>IF(E$4&lt;=核心参数输入!$B$9,MIN(E41,MAX(0,核心参数输入!$B$61-D47)),0)</f>
        <v>7065</v>
      </c>
      <c r="F42" s="1">
        <f>IF(F$4&lt;=核心参数输入!$B$9,MIN(F41,MAX(0,核心参数输入!$B$61-E47)),0)</f>
        <v>9798</v>
      </c>
      <c r="G42" s="1">
        <f>IF(G$4&lt;=核心参数输入!$B$9,MIN(G41,MAX(0,核心参数输入!$B$61-F47)),0)</f>
        <v>7947</v>
      </c>
      <c r="H42" s="1">
        <f>IF(H$4&lt;=核心参数输入!$B$9,MIN(H41,MAX(0,核心参数输入!$B$61-G47)),0)</f>
        <v>0</v>
      </c>
      <c r="I42" s="1">
        <f>IF(I$4&lt;=核心参数输入!$B$9,MIN(I41,MAX(0,核心参数输入!$B$61-H47)),0)</f>
        <v>0</v>
      </c>
      <c r="J42" s="1">
        <f>IF(J$4&lt;=核心参数输入!$B$9,MIN(J41,MAX(0,核心参数输入!$B$61-I47)),0)</f>
        <v>0</v>
      </c>
      <c r="K42" s="1">
        <f>IF(K$4&lt;=核心参数输入!$B$9,MIN(K41,MAX(0,核心参数输入!$B$61-J47)),0)</f>
        <v>0</v>
      </c>
      <c r="L42" s="1">
        <f>IF(L$4&lt;=核心参数输入!$B$9,MIN(L41,MAX(0,核心参数输入!$B$61-K47)),0)</f>
        <v>0</v>
      </c>
      <c r="M42" s="1">
        <f>IF(M$4&lt;=核心参数输入!$B$9,MIN(M41,MAX(0,核心参数输入!$B$61-L47)),0)</f>
        <v>0</v>
      </c>
      <c r="N42" s="1">
        <f>IF(N$4&lt;=核心参数输入!$B$9,MIN(N41,MAX(0,核心参数输入!$B$61-M47)),0)</f>
        <v>9.0949470177292824E-13</v>
      </c>
      <c r="O42" s="1">
        <f>IF(O$4&lt;=核心参数输入!$B$9,MIN(O41,MAX(0,核心参数输入!$B$61-N47)),0)</f>
        <v>0</v>
      </c>
      <c r="P42" s="1">
        <f>IF(P$4&lt;=核心参数输入!$B$9,MIN(P41,MAX(0,核心参数输入!$B$61-O47)),0)</f>
        <v>0</v>
      </c>
      <c r="Q42" s="1">
        <f>IF(Q$4&lt;=核心参数输入!$B$9,MIN(Q41,MAX(0,核心参数输入!$B$61-P47)),0)</f>
        <v>0</v>
      </c>
      <c r="R42" s="1">
        <f>IF(R$4&lt;=核心参数输入!$B$9,MIN(R41,MAX(0,核心参数输入!$B$61-Q47)),0)</f>
        <v>0</v>
      </c>
      <c r="S42" s="1">
        <f>IF(S$4&lt;=核心参数输入!$B$9,MIN(S41,MAX(0,核心参数输入!$B$61-R47)),0)</f>
        <v>0</v>
      </c>
      <c r="T42" s="1">
        <f>IF(T$4&lt;=核心参数输入!$B$9,MIN(T41,MAX(0,核心参数输入!$B$61-S47)),0)</f>
        <v>0</v>
      </c>
      <c r="U42" s="1">
        <f>IF(U$4&lt;=核心参数输入!$B$9,MIN(U41,MAX(0,核心参数输入!$B$61-T47)),0)</f>
        <v>0</v>
      </c>
      <c r="V42" s="1">
        <f>IF(V$4&lt;=核心参数输入!$B$9,MIN(V41,MAX(0,核心参数输入!$B$61-U47)),0)</f>
        <v>0</v>
      </c>
      <c r="W42" s="1">
        <f>IF(W$4&lt;=核心参数输入!$B$9,MIN(W41,MAX(0,核心参数输入!$B$61-V47)),0)</f>
        <v>0</v>
      </c>
      <c r="X42" s="1">
        <f>IF(X$4&lt;=核心参数输入!$B$9,MIN(X41,MAX(0,核心参数输入!$B$61-W47)),0)</f>
        <v>0</v>
      </c>
      <c r="Y42" s="1">
        <f>IF(Y$4&lt;=核心参数输入!$B$9,MIN(Y41,MAX(0,核心参数输入!$B$61-X47)),0)</f>
        <v>0</v>
      </c>
      <c r="Z42" s="1">
        <f>IF(Z$4&lt;=核心参数输入!$B$9,MIN(Z41,MAX(0,核心参数输入!$B$61-Y47)),0)</f>
        <v>0</v>
      </c>
      <c r="AA42" s="1">
        <f>IF(AA$4&lt;=核心参数输入!$B$9,MIN(AA41,MAX(0,核心参数输入!$B$61-Z47)),0)</f>
        <v>0</v>
      </c>
      <c r="AB42" s="1">
        <f>IF(AB$4&lt;=核心参数输入!$B$9,MIN(AB41,MAX(0,核心参数输入!$B$61-AA47)),0)</f>
        <v>0</v>
      </c>
      <c r="AC42" s="1">
        <f>IF(AC$4&lt;=核心参数输入!$B$9,MIN(AC41,MAX(0,核心参数输入!$B$61-AB47)),0)</f>
        <v>0</v>
      </c>
      <c r="AD42" s="1">
        <f>IF(AD$4&lt;=核心参数输入!$B$9,MIN(AD41,MAX(0,核心参数输入!$B$61-AC47)),0)</f>
        <v>0</v>
      </c>
      <c r="AE42" s="1">
        <f>IF(AE$4&lt;=核心参数输入!$B$9,MIN(AE41,MAX(0,核心参数输入!$B$61-AD47)),0)</f>
        <v>0</v>
      </c>
      <c r="AF42" s="1">
        <f>IF(AF$4&lt;=核心参数输入!$B$9,MIN(AF41,MAX(0,核心参数输入!$B$61-AE47)),0)</f>
        <v>0</v>
      </c>
      <c r="AG42" s="1">
        <f>IF(AG$4&lt;=核心参数输入!$B$9,MIN(AG41,MAX(0,核心参数输入!$B$61-AF47)),0)</f>
        <v>0</v>
      </c>
      <c r="AH42" s="1">
        <f>IF(AH$4&lt;=核心参数输入!$B$9,MIN(AH41,MAX(0,核心参数输入!$B$61-AG47)),0)</f>
        <v>0</v>
      </c>
    </row>
    <row r="43" spans="1:34" ht="21" customHeight="1">
      <c r="A43" s="11" t="s">
        <v>288</v>
      </c>
      <c r="B43" s="11" t="s">
        <v>54</v>
      </c>
      <c r="D43" s="1">
        <f>IF(D$4&lt;=核心参数输入!$B$9,IF(D46&gt;0.01,0,MAX(0,D39+D31-D40+D42-D32)),0)</f>
        <v>0</v>
      </c>
      <c r="E43" s="1">
        <f>IF(E$4&lt;=核心参数输入!$B$9,IF(E46&gt;0.01,0,MAX(0,E39+E31-E40+E42-E32)),0)</f>
        <v>0</v>
      </c>
      <c r="F43" s="1">
        <f>IF(F$4&lt;=核心参数输入!$B$9,IF(F46&gt;0.01,0,MAX(0,F39+F31-F40+F42-F32)),0)</f>
        <v>0</v>
      </c>
      <c r="G43" s="1">
        <f>IF(G$4&lt;=核心参数输入!$B$9,IF(G46&gt;0.01,0,MAX(0,G39+G31-G40+G42-G32)),0)</f>
        <v>0</v>
      </c>
      <c r="H43" s="1">
        <f>IF(H$4&lt;=核心参数输入!$B$9,IF(H46&gt;0.01,0,MAX(0,H39+H31-H40+H42-H32)),0)</f>
        <v>6931.623073910715</v>
      </c>
      <c r="I43" s="1">
        <f>IF(I$4&lt;=核心参数输入!$B$9,IF(I46&gt;0.01,0,MAX(0,I39+I31-I40+I42-I32)),0)</f>
        <v>5728.8153189413333</v>
      </c>
      <c r="J43" s="1">
        <f>IF(J$4&lt;=核心参数输入!$B$9,IF(J46&gt;0.01,0,MAX(0,J39+J31-J40+J42-J32)),0)</f>
        <v>0</v>
      </c>
      <c r="K43" s="1">
        <f>IF(K$4&lt;=核心参数输入!$B$9,IF(K46&gt;0.01,0,MAX(0,K39+K31-K40+K42-K32)),0)</f>
        <v>0</v>
      </c>
      <c r="L43" s="1">
        <f>IF(L$4&lt;=核心参数输入!$B$9,IF(L46&gt;0.01,0,MAX(0,L39+L31-L40+L42-L32)),0)</f>
        <v>0</v>
      </c>
      <c r="M43" s="1">
        <f>IF(M$4&lt;=核心参数输入!$B$9,IF(M46&gt;0.01,0,MAX(0,M39+M31-M40+M42-M32)),0)</f>
        <v>0</v>
      </c>
      <c r="N43" s="1">
        <f>IF(N$4&lt;=核心参数输入!$B$9,IF(N46&gt;0.01,0,MAX(0,N39+N31-N40+N42-N32)),0)</f>
        <v>0</v>
      </c>
      <c r="O43" s="1">
        <f>IF(O$4&lt;=核心参数输入!$B$9,IF(O46&gt;0.01,0,MAX(0,O39+O31-O40+O42-O32)),0)</f>
        <v>999.91491246842088</v>
      </c>
      <c r="P43" s="1">
        <f>IF(P$4&lt;=核心参数输入!$B$9,IF(P46&gt;0.01,0,MAX(0,P39+P31-P40+P42-P32)),0)</f>
        <v>1012.7174554043415</v>
      </c>
      <c r="Q43" s="1">
        <f>IF(Q$4&lt;=核心参数输入!$B$9,IF(Q46&gt;0.01,0,MAX(0,Q39+Q31-Q40+Q42-Q32)),0)</f>
        <v>1025.6861910567789</v>
      </c>
      <c r="R43" s="1">
        <f>IF(R$4&lt;=核心参数输入!$B$9,IF(R46&gt;0.01,0,MAX(0,R39+R31-R40+R42-R32)),0)</f>
        <v>1038.8230954079302</v>
      </c>
      <c r="S43" s="1">
        <f>IF(S$4&lt;=核心参数输入!$B$9,IF(S46&gt;0.01,0,MAX(0,S39+S31-S40+S42-S32)),0)</f>
        <v>1052.130163741555</v>
      </c>
      <c r="T43" s="1">
        <f>IF(T$4&lt;=核心参数输入!$B$9,IF(T46&gt;0.01,0,MAX(0,T39+T31-T40+T42-T32)),0)</f>
        <v>1065.6094107257341</v>
      </c>
      <c r="U43" s="1">
        <f>IF(U$4&lt;=核心参数输入!$B$9,IF(U46&gt;0.01,0,MAX(0,U39+U31-U40+U42-U32)),0)</f>
        <v>1079.2628704927372</v>
      </c>
      <c r="V43" s="1">
        <f>IF(V$4&lt;=核心参数输入!$B$9,IF(V46&gt;0.01,0,MAX(0,V39+V31-V40+V42-V32)),0)</f>
        <v>1093.0925967158676</v>
      </c>
      <c r="W43" s="1">
        <f>IF(W$4&lt;=核心参数输入!$B$9,IF(W46&gt;0.01,0,MAX(0,W39+W31-W40+W42-W32)),0)</f>
        <v>1107.1006626831593</v>
      </c>
      <c r="X43" s="1">
        <f>IF(X$4&lt;=核心参数输入!$B$9,IF(X46&gt;0.01,0,MAX(0,X39+X31-X40+X42-X32)),0)</f>
        <v>1621.2891613677918</v>
      </c>
      <c r="Y43" s="1">
        <f>IF(Y$4&lt;=核心参数输入!$B$9,IF(Y46&gt;0.01,0,MAX(0,Y39+Y31-Y40+Y42-Y32)),0)</f>
        <v>0</v>
      </c>
      <c r="Z43" s="1">
        <f>IF(Z$4&lt;=核心参数输入!$B$9,IF(Z46&gt;0.01,0,MAX(0,Z39+Z31-Z40+Z42-Z32)),0)</f>
        <v>0</v>
      </c>
      <c r="AA43" s="1">
        <f>IF(AA$4&lt;=核心参数输入!$B$9,IF(AA46&gt;0.01,0,MAX(0,AA39+AA31-AA40+AA42-AA32)),0)</f>
        <v>0</v>
      </c>
      <c r="AB43" s="1">
        <f>IF(AB$4&lt;=核心参数输入!$B$9,IF(AB46&gt;0.01,0,MAX(0,AB39+AB31-AB40+AB42-AB32)),0)</f>
        <v>0</v>
      </c>
      <c r="AC43" s="1">
        <f>IF(AC$4&lt;=核心参数输入!$B$9,IF(AC46&gt;0.01,0,MAX(0,AC39+AC31-AC40+AC42-AC32)),0)</f>
        <v>0</v>
      </c>
      <c r="AD43" s="1">
        <f>IF(AD$4&lt;=核心参数输入!$B$9,IF(AD46&gt;0.01,0,MAX(0,AD39+AD31-AD40+AD42-AD32)),0)</f>
        <v>0</v>
      </c>
      <c r="AE43" s="1">
        <f>IF(AE$4&lt;=核心参数输入!$B$9,IF(AE46&gt;0.01,0,MAX(0,AE39+AE31-AE40+AE42-AE32)),0)</f>
        <v>0</v>
      </c>
      <c r="AF43" s="1">
        <f>IF(AF$4&lt;=核心参数输入!$B$9,IF(AF46&gt;0.01,0,MAX(0,AF39+AF31-AF40+AF42-AF32)),0)</f>
        <v>0</v>
      </c>
      <c r="AG43" s="1">
        <f>IF(AG$4&lt;=核心参数输入!$B$9,IF(AG46&gt;0.01,0,MAX(0,AG39+AG31-AG40+AG42-AG32)),0)</f>
        <v>0</v>
      </c>
      <c r="AH43" s="1">
        <f>IF(AH$4&lt;=核心参数输入!$B$9,IF(AH46&gt;0.01,0,MAX(0,AH39+AH31-AH40+AH42-AH32)),0)</f>
        <v>0</v>
      </c>
    </row>
    <row r="44" spans="1:34" ht="21" customHeight="1">
      <c r="A44" s="11" t="s">
        <v>289</v>
      </c>
      <c r="B44" s="11" t="s">
        <v>54</v>
      </c>
      <c r="D44" s="1">
        <f>IF(D$4&lt;=核心参数输入!$B$9,MAX(0,D39+D31-D40+D42)-D43,0)</f>
        <v>0</v>
      </c>
      <c r="E44" s="1">
        <f>IF(E$4&lt;=核心参数输入!$B$9,MAX(0,E39+E31-E40+E42)-E43,0)</f>
        <v>0</v>
      </c>
      <c r="F44" s="1">
        <f>IF(F$4&lt;=核心参数输入!$B$9,MAX(0,F39+F31-F40+F42)-F43,0)</f>
        <v>0</v>
      </c>
      <c r="G44" s="1">
        <f>IF(G$4&lt;=核心参数输入!$B$9,MAX(0,G39+G31-G40+G42)-G43,0)</f>
        <v>0</v>
      </c>
      <c r="H44" s="1">
        <f>IF(H$4&lt;=核心参数输入!$B$9,MAX(0,H39+H31-H40+H42)-H43,0)</f>
        <v>0</v>
      </c>
      <c r="I44" s="1">
        <f>IF(I$4&lt;=核心参数输入!$B$9,MAX(0,I39+I31-I40+I42)-I43,0)</f>
        <v>6278.1162044196299</v>
      </c>
      <c r="J44" s="1">
        <f>IF(J$4&lt;=核心参数输入!$B$9,MAX(0,J39+J31-J40+J42)-J43,0)</f>
        <v>14524.876285063319</v>
      </c>
      <c r="K44" s="1">
        <f>IF(K$4&lt;=核心参数输入!$B$9,MAX(0,K39+K31-K40+K42)-K43,0)</f>
        <v>10595.013832118773</v>
      </c>
      <c r="L44" s="1">
        <f>IF(L$4&lt;=核心参数输入!$B$9,MAX(0,L39+L31-L40+L42)-L43,0)</f>
        <v>6882.265336866637</v>
      </c>
      <c r="M44" s="1">
        <f>IF(M$4&lt;=核心参数输入!$B$9,MAX(0,M39+M31-M40+M42)-M43,0)</f>
        <v>3365.9376802314328</v>
      </c>
      <c r="N44" s="1">
        <f>IF(N$4&lt;=核心参数输入!$B$9,MAX(0,N39+N31-N40+N42)-N43,0)</f>
        <v>0</v>
      </c>
      <c r="O44" s="1">
        <f>IF(O$4&lt;=核心参数输入!$B$9,MAX(0,O39+O31-O40+O42)-O43,0)</f>
        <v>0</v>
      </c>
      <c r="P44" s="1">
        <f>IF(P$4&lt;=核心参数输入!$B$9,MAX(0,P39+P31-P40+P42)-P43,0)</f>
        <v>0</v>
      </c>
      <c r="Q44" s="1">
        <f>IF(Q$4&lt;=核心参数输入!$B$9,MAX(0,Q39+Q31-Q40+Q42)-Q43,0)</f>
        <v>0</v>
      </c>
      <c r="R44" s="1">
        <f>IF(R$4&lt;=核心参数输入!$B$9,MAX(0,R39+R31-R40+R42)-R43,0)</f>
        <v>0</v>
      </c>
      <c r="S44" s="1">
        <f>IF(S$4&lt;=核心参数输入!$B$9,MAX(0,S39+S31-S40+S42)-S43,0)</f>
        <v>0</v>
      </c>
      <c r="T44" s="1">
        <f>IF(T$4&lt;=核心参数输入!$B$9,MAX(0,T39+T31-T40+T42)-T43,0)</f>
        <v>0</v>
      </c>
      <c r="U44" s="1">
        <f>IF(U$4&lt;=核心参数输入!$B$9,MAX(0,U39+U31-U40+U42)-U43,0)</f>
        <v>0</v>
      </c>
      <c r="V44" s="1">
        <f>IF(V$4&lt;=核心参数输入!$B$9,MAX(0,V39+V31-V40+V42)-V43,0)</f>
        <v>0</v>
      </c>
      <c r="W44" s="1">
        <f>IF(W$4&lt;=核心参数输入!$B$9,MAX(0,W39+W31-W40+W42)-W43,0)</f>
        <v>0</v>
      </c>
      <c r="X44" s="1">
        <f>IF(X$4&lt;=核心参数输入!$B$9,MAX(0,X39+X31-X40+X42)-X43,0)</f>
        <v>0</v>
      </c>
      <c r="Y44" s="1">
        <f>IF(Y$4&lt;=核心参数输入!$B$9,MAX(0,Y39+Y31-Y40+Y42)-Y43,0)</f>
        <v>0</v>
      </c>
      <c r="Z44" s="1">
        <f>IF(Z$4&lt;=核心参数输入!$B$9,MAX(0,Z39+Z31-Z40+Z42)-Z43,0)</f>
        <v>0</v>
      </c>
      <c r="AA44" s="1">
        <f>IF(AA$4&lt;=核心参数输入!$B$9,MAX(0,AA39+AA31-AA40+AA42)-AA43,0)</f>
        <v>0</v>
      </c>
      <c r="AB44" s="1">
        <f>IF(AB$4&lt;=核心参数输入!$B$9,MAX(0,AB39+AB31-AB40+AB42)-AB43,0)</f>
        <v>0</v>
      </c>
      <c r="AC44" s="1">
        <f>IF(AC$4&lt;=核心参数输入!$B$9,MAX(0,AC39+AC31-AC40+AC42)-AC43,0)</f>
        <v>0</v>
      </c>
      <c r="AD44" s="1">
        <f>IF(AD$4&lt;=核心参数输入!$B$9,MAX(0,AD39+AD31-AD40+AD42)-AD43,0)</f>
        <v>0</v>
      </c>
      <c r="AE44" s="1">
        <f>IF(AE$4&lt;=核心参数输入!$B$9,MAX(0,AE39+AE31-AE40+AE42)-AE43,0)</f>
        <v>0</v>
      </c>
      <c r="AF44" s="1">
        <f>IF(AF$4&lt;=核心参数输入!$B$9,MAX(0,AF39+AF31-AF40+AF42)-AF43,0)</f>
        <v>0</v>
      </c>
      <c r="AG44" s="1">
        <f>IF(AG$4&lt;=核心参数输入!$B$9,MAX(0,AG39+AG31-AG40+AG42)-AG43,0)</f>
        <v>0</v>
      </c>
      <c r="AH44" s="1">
        <f>IF(AH$4&lt;=核心参数输入!$B$9,MAX(0,AH39+AH31-AH40+AH42)-AH43,0)</f>
        <v>0</v>
      </c>
    </row>
    <row r="45" spans="1:34" ht="21" customHeight="1">
      <c r="A45" s="11" t="s">
        <v>290</v>
      </c>
      <c r="B45" s="11" t="s">
        <v>54</v>
      </c>
      <c r="D45" s="1">
        <f>IF(D$4&lt;=核心参数输入!$B$9,MAX(0,-(D39+D31-D40+D42)),0)</f>
        <v>0</v>
      </c>
      <c r="E45" s="1">
        <f>IF(E$4&lt;=核心参数输入!$B$9,MAX(0,-(E39+E31-E40+E42)),0)</f>
        <v>0</v>
      </c>
      <c r="F45" s="1">
        <f>IF(F$4&lt;=核心参数输入!$B$9,MAX(0,-(F39+F31-F40+F42)),0)</f>
        <v>0</v>
      </c>
      <c r="G45" s="1">
        <f>IF(G$4&lt;=核心参数输入!$B$9,MAX(0,-(G39+G31-G40+G42)),0)</f>
        <v>0</v>
      </c>
      <c r="H45" s="1">
        <f>IF(H$4&lt;=核心参数输入!$B$9,MAX(0,-(H39+H31-H40+H42)),0)</f>
        <v>0</v>
      </c>
      <c r="I45" s="1">
        <f>IF(I$4&lt;=核心参数输入!$B$9,MAX(0,-(I39+I31-I40+I42)),0)</f>
        <v>0</v>
      </c>
      <c r="J45" s="1">
        <f>IF(J$4&lt;=核心参数输入!$B$9,MAX(0,-(J39+J31-J40+J42)),0)</f>
        <v>0</v>
      </c>
      <c r="K45" s="1">
        <f>IF(K$4&lt;=核心参数输入!$B$9,MAX(0,-(K39+K31-K40+K42)),0)</f>
        <v>0</v>
      </c>
      <c r="L45" s="1">
        <f>IF(L$4&lt;=核心参数输入!$B$9,MAX(0,-(L39+L31-L40+L42)),0)</f>
        <v>0</v>
      </c>
      <c r="M45" s="1">
        <f>IF(M$4&lt;=核心参数输入!$B$9,MAX(0,-(M39+M31-M40+M42)),0)</f>
        <v>0</v>
      </c>
      <c r="N45" s="1">
        <f>IF(N$4&lt;=核心参数输入!$B$9,MAX(0,-(N39+N31-N40+N42)),0)</f>
        <v>0</v>
      </c>
      <c r="O45" s="1">
        <f>IF(O$4&lt;=核心参数输入!$B$9,MAX(0,-(O39+O31-O40+O42)),0)</f>
        <v>0</v>
      </c>
      <c r="P45" s="1">
        <f>IF(P$4&lt;=核心参数输入!$B$9,MAX(0,-(P39+P31-P40+P42)),0)</f>
        <v>0</v>
      </c>
      <c r="Q45" s="1">
        <f>IF(Q$4&lt;=核心参数输入!$B$9,MAX(0,-(Q39+Q31-Q40+Q42)),0)</f>
        <v>0</v>
      </c>
      <c r="R45" s="1">
        <f>IF(R$4&lt;=核心参数输入!$B$9,MAX(0,-(R39+R31-R40+R42)),0)</f>
        <v>0</v>
      </c>
      <c r="S45" s="1">
        <f>IF(S$4&lt;=核心参数输入!$B$9,MAX(0,-(S39+S31-S40+S42)),0)</f>
        <v>0</v>
      </c>
      <c r="T45" s="1">
        <f>IF(T$4&lt;=核心参数输入!$B$9,MAX(0,-(T39+T31-T40+T42)),0)</f>
        <v>0</v>
      </c>
      <c r="U45" s="1">
        <f>IF(U$4&lt;=核心参数输入!$B$9,MAX(0,-(U39+U31-U40+U42)),0)</f>
        <v>0</v>
      </c>
      <c r="V45" s="1">
        <f>IF(V$4&lt;=核心参数输入!$B$9,MAX(0,-(V39+V31-V40+V42)),0)</f>
        <v>0</v>
      </c>
      <c r="W45" s="1">
        <f>IF(W$4&lt;=核心参数输入!$B$9,MAX(0,-(W39+W31-W40+W42)),0)</f>
        <v>0</v>
      </c>
      <c r="X45" s="1">
        <f>IF(X$4&lt;=核心参数输入!$B$9,MAX(0,-(X39+X31-X40+X42)),0)</f>
        <v>0</v>
      </c>
      <c r="Y45" s="1">
        <f>IF(Y$4&lt;=核心参数输入!$B$9,MAX(0,-(Y39+Y31-Y40+Y42)),0)</f>
        <v>0</v>
      </c>
      <c r="Z45" s="1">
        <f>IF(Z$4&lt;=核心参数输入!$B$9,MAX(0,-(Z39+Z31-Z40+Z42)),0)</f>
        <v>0</v>
      </c>
      <c r="AA45" s="1">
        <f>IF(AA$4&lt;=核心参数输入!$B$9,MAX(0,-(AA39+AA31-AA40+AA42)),0)</f>
        <v>0</v>
      </c>
      <c r="AB45" s="1">
        <f>IF(AB$4&lt;=核心参数输入!$B$9,MAX(0,-(AB39+AB31-AB40+AB42)),0)</f>
        <v>0</v>
      </c>
      <c r="AC45" s="1">
        <f>IF(AC$4&lt;=核心参数输入!$B$9,MAX(0,-(AC39+AC31-AC40+AC42)),0)</f>
        <v>0</v>
      </c>
      <c r="AD45" s="1">
        <f>IF(AD$4&lt;=核心参数输入!$B$9,MAX(0,-(AD39+AD31-AD40+AD42)),0)</f>
        <v>0</v>
      </c>
      <c r="AE45" s="1">
        <f>IF(AE$4&lt;=核心参数输入!$B$9,MAX(0,-(AE39+AE31-AE40+AE42)),0)</f>
        <v>0</v>
      </c>
      <c r="AF45" s="1">
        <f>IF(AF$4&lt;=核心参数输入!$B$9,MAX(0,-(AF39+AF31-AF40+AF42)),0)</f>
        <v>0</v>
      </c>
      <c r="AG45" s="1">
        <f>IF(AG$4&lt;=核心参数输入!$B$9,MAX(0,-(AG39+AG31-AG40+AG42)),0)</f>
        <v>0</v>
      </c>
      <c r="AH45" s="1">
        <f>IF(AH$4&lt;=核心参数输入!$B$9,MAX(0,-(AH39+AH31-AH40+AH42)),0)</f>
        <v>0</v>
      </c>
    </row>
    <row r="46" spans="1:34" ht="21" customHeight="1">
      <c r="A46" s="11" t="s">
        <v>291</v>
      </c>
      <c r="B46" s="11" t="s">
        <v>54</v>
      </c>
      <c r="D46" s="1">
        <f>IF(D$4&lt;=核心参数输入!$B$9,MAX(0,D45),0)</f>
        <v>0</v>
      </c>
      <c r="E46" s="1">
        <f>IF(E$4&lt;=核心参数输入!$B$9,MAX(D46,E45),0)</f>
        <v>0</v>
      </c>
      <c r="F46" s="1">
        <f>IF(F$4&lt;=核心参数输入!$B$9,MAX(E46,F45),0)</f>
        <v>0</v>
      </c>
      <c r="G46" s="1">
        <f>IF(G$4&lt;=核心参数输入!$B$9,MAX(F46,G45),0)</f>
        <v>0</v>
      </c>
      <c r="H46" s="1">
        <f>IF(H$4&lt;=核心参数输入!$B$9,MAX(G46,H45),0)</f>
        <v>0</v>
      </c>
      <c r="I46" s="1">
        <f>IF(I$4&lt;=核心参数输入!$B$9,MAX(H46,I45),0)</f>
        <v>0</v>
      </c>
      <c r="J46" s="1">
        <f>IF(J$4&lt;=核心参数输入!$B$9,MAX(I46,J45),0)</f>
        <v>0</v>
      </c>
      <c r="K46" s="1">
        <f>IF(K$4&lt;=核心参数输入!$B$9,MAX(J46,K45),0)</f>
        <v>0</v>
      </c>
      <c r="L46" s="1">
        <f>IF(L$4&lt;=核心参数输入!$B$9,MAX(K46,L45),0)</f>
        <v>0</v>
      </c>
      <c r="M46" s="1">
        <f>IF(M$4&lt;=核心参数输入!$B$9,MAX(L46,M45),0)</f>
        <v>0</v>
      </c>
      <c r="N46" s="1">
        <f>IF(N$4&lt;=核心参数输入!$B$9,MAX(M46,N45),0)</f>
        <v>0</v>
      </c>
      <c r="O46" s="1">
        <f>IF(O$4&lt;=核心参数输入!$B$9,MAX(N46,O45),0)</f>
        <v>0</v>
      </c>
      <c r="P46" s="1">
        <f>IF(P$4&lt;=核心参数输入!$B$9,MAX(O46,P45),0)</f>
        <v>0</v>
      </c>
      <c r="Q46" s="1">
        <f>IF(Q$4&lt;=核心参数输入!$B$9,MAX(P46,Q45),0)</f>
        <v>0</v>
      </c>
      <c r="R46" s="1">
        <f>IF(R$4&lt;=核心参数输入!$B$9,MAX(Q46,R45),0)</f>
        <v>0</v>
      </c>
      <c r="S46" s="1">
        <f>IF(S$4&lt;=核心参数输入!$B$9,MAX(R46,S45),0)</f>
        <v>0</v>
      </c>
      <c r="T46" s="1">
        <f>IF(T$4&lt;=核心参数输入!$B$9,MAX(S46,T45),0)</f>
        <v>0</v>
      </c>
      <c r="U46" s="1">
        <f>IF(U$4&lt;=核心参数输入!$B$9,MAX(T46,U45),0)</f>
        <v>0</v>
      </c>
      <c r="V46" s="1">
        <f>IF(V$4&lt;=核心参数输入!$B$9,MAX(U46,V45),0)</f>
        <v>0</v>
      </c>
      <c r="W46" s="1">
        <f>IF(W$4&lt;=核心参数输入!$B$9,MAX(V46,W45),0)</f>
        <v>0</v>
      </c>
      <c r="X46" s="1">
        <f>IF(X$4&lt;=核心参数输入!$B$9,MAX(W46,X45),0)</f>
        <v>0</v>
      </c>
      <c r="Y46" s="1">
        <f>IF(Y$4&lt;=核心参数输入!$B$9,MAX(X46,Y45),0)</f>
        <v>0</v>
      </c>
      <c r="Z46" s="1">
        <f>IF(Z$4&lt;=核心参数输入!$B$9,MAX(Y46,Z45),0)</f>
        <v>0</v>
      </c>
      <c r="AA46" s="1">
        <f>IF(AA$4&lt;=核心参数输入!$B$9,MAX(Z46,AA45),0)</f>
        <v>0</v>
      </c>
      <c r="AB46" s="1">
        <f>IF(AB$4&lt;=核心参数输入!$B$9,MAX(AA46,AB45),0)</f>
        <v>0</v>
      </c>
      <c r="AC46" s="1">
        <f>IF(AC$4&lt;=核心参数输入!$B$9,MAX(AB46,AC45),0)</f>
        <v>0</v>
      </c>
      <c r="AD46" s="1">
        <f>IF(AD$4&lt;=核心参数输入!$B$9,MAX(AC46,AD45),0)</f>
        <v>0</v>
      </c>
      <c r="AE46" s="1">
        <f>IF(AE$4&lt;=核心参数输入!$B$9,MAX(AD46,AE45),0)</f>
        <v>0</v>
      </c>
      <c r="AF46" s="1">
        <f>IF(AF$4&lt;=核心参数输入!$B$9,MAX(AE46,AF45),0)</f>
        <v>0</v>
      </c>
      <c r="AG46" s="1">
        <f>IF(AG$4&lt;=核心参数输入!$B$9,MAX(AF46,AG45),0)</f>
        <v>0</v>
      </c>
      <c r="AH46" s="1">
        <f>IF(AH$4&lt;=核心参数输入!$B$9,MAX(AG46,AH45),0)</f>
        <v>0</v>
      </c>
    </row>
    <row r="47" spans="1:34" ht="21" customHeight="1">
      <c r="A47" s="11" t="s">
        <v>292</v>
      </c>
      <c r="B47" s="11" t="s">
        <v>54</v>
      </c>
      <c r="D47" s="1">
        <f>IF(D$4&lt;=核心参数输入!$B$9,0+D42,0)</f>
        <v>8000</v>
      </c>
      <c r="E47" s="1">
        <f>IF(E$4&lt;=核心参数输入!$B$9,D47+E42,0)</f>
        <v>15065</v>
      </c>
      <c r="F47" s="1">
        <f>IF(F$4&lt;=核心参数输入!$B$9,E47+F42,0)</f>
        <v>24863</v>
      </c>
      <c r="G47" s="1">
        <f>IF(G$4&lt;=核心参数输入!$B$9,F47+G42,0)</f>
        <v>32810</v>
      </c>
      <c r="H47" s="1">
        <f>IF(H$4&lt;=核心参数输入!$B$9,G47+H42,0)</f>
        <v>32810</v>
      </c>
      <c r="I47" s="1">
        <f>IF(I$4&lt;=核心参数输入!$B$9,H47+I42,0)</f>
        <v>32810</v>
      </c>
      <c r="J47" s="1">
        <f>IF(J$4&lt;=核心参数输入!$B$9,I47+J42,0)</f>
        <v>32810</v>
      </c>
      <c r="K47" s="1">
        <f>IF(K$4&lt;=核心参数输入!$B$9,J47+K42,0)</f>
        <v>32810</v>
      </c>
      <c r="L47" s="1">
        <f>IF(L$4&lt;=核心参数输入!$B$9,K47+L42,0)</f>
        <v>32810</v>
      </c>
      <c r="M47" s="1">
        <f>IF(M$4&lt;=核心参数输入!$B$9,L47+M42,0)</f>
        <v>32810</v>
      </c>
      <c r="N47" s="1">
        <f>IF(N$4&lt;=核心参数输入!$B$9,M47+N42,0)</f>
        <v>32810</v>
      </c>
      <c r="O47" s="1">
        <f>IF(O$4&lt;=核心参数输入!$B$9,N47+O42,0)</f>
        <v>32810</v>
      </c>
      <c r="P47" s="1">
        <f>IF(P$4&lt;=核心参数输入!$B$9,O47+P42,0)</f>
        <v>32810</v>
      </c>
      <c r="Q47" s="1">
        <f>IF(Q$4&lt;=核心参数输入!$B$9,P47+Q42,0)</f>
        <v>32810</v>
      </c>
      <c r="R47" s="1">
        <f>IF(R$4&lt;=核心参数输入!$B$9,Q47+R42,0)</f>
        <v>32810</v>
      </c>
      <c r="S47" s="1">
        <f>IF(S$4&lt;=核心参数输入!$B$9,R47+S42,0)</f>
        <v>32810</v>
      </c>
      <c r="T47" s="1">
        <f>IF(T$4&lt;=核心参数输入!$B$9,S47+T42,0)</f>
        <v>32810</v>
      </c>
      <c r="U47" s="1">
        <f>IF(U$4&lt;=核心参数输入!$B$9,T47+U42,0)</f>
        <v>32810</v>
      </c>
      <c r="V47" s="1">
        <f>IF(V$4&lt;=核心参数输入!$B$9,U47+V42,0)</f>
        <v>32810</v>
      </c>
      <c r="W47" s="1">
        <f>IF(W$4&lt;=核心参数输入!$B$9,V47+W42,0)</f>
        <v>32810</v>
      </c>
      <c r="X47" s="1">
        <f>IF(X$4&lt;=核心参数输入!$B$9,W47+X42,0)</f>
        <v>32810</v>
      </c>
      <c r="Y47" s="1">
        <f>IF(Y$4&lt;=核心参数输入!$B$9,X47+Y42,0)</f>
        <v>0</v>
      </c>
      <c r="Z47" s="1">
        <f>IF(Z$4&lt;=核心参数输入!$B$9,Y47+Z42,0)</f>
        <v>0</v>
      </c>
      <c r="AA47" s="1">
        <f>IF(AA$4&lt;=核心参数输入!$B$9,Z47+AA42,0)</f>
        <v>0</v>
      </c>
      <c r="AB47" s="1">
        <f>IF(AB$4&lt;=核心参数输入!$B$9,AA47+AB42,0)</f>
        <v>0</v>
      </c>
      <c r="AC47" s="1">
        <f>IF(AC$4&lt;=核心参数输入!$B$9,AB47+AC42,0)</f>
        <v>0</v>
      </c>
      <c r="AD47" s="1">
        <f>IF(AD$4&lt;=核心参数输入!$B$9,AC47+AD42,0)</f>
        <v>0</v>
      </c>
      <c r="AE47" s="1">
        <f>IF(AE$4&lt;=核心参数输入!$B$9,AD47+AE42,0)</f>
        <v>0</v>
      </c>
      <c r="AF47" s="1">
        <f>IF(AF$4&lt;=核心参数输入!$B$9,AE47+AF42,0)</f>
        <v>0</v>
      </c>
      <c r="AG47" s="1">
        <f>IF(AG$4&lt;=核心参数输入!$B$9,AF47+AG42,0)</f>
        <v>0</v>
      </c>
      <c r="AH47" s="1">
        <f>IF(AH$4&lt;=核心参数输入!$B$9,AG47+AH42,0)</f>
        <v>0</v>
      </c>
    </row>
    <row r="48" spans="1:34" ht="21" customHeight="1">
      <c r="A48" s="11" t="s">
        <v>293</v>
      </c>
      <c r="B48" s="11" t="s">
        <v>54</v>
      </c>
      <c r="D48" s="1">
        <f>IF(D$4&lt;=核心参数输入!$B$9,D43-D42,0)</f>
        <v>-8000</v>
      </c>
      <c r="E48" s="1">
        <f>IF(E$4&lt;=核心参数输入!$B$9,E43-E42,0)</f>
        <v>-7065</v>
      </c>
      <c r="F48" s="1">
        <f>IF(F$4&lt;=核心参数输入!$B$9,F43-F42,0)</f>
        <v>-9798</v>
      </c>
      <c r="G48" s="1">
        <f>IF(G$4&lt;=核心参数输入!$B$9,G43-G42,0)</f>
        <v>-7947</v>
      </c>
      <c r="H48" s="1">
        <f>IF(H$4&lt;=核心参数输入!$B$9,H43-H42,0)</f>
        <v>6931.623073910715</v>
      </c>
      <c r="I48" s="1">
        <f>IF(I$4&lt;=核心参数输入!$B$9,I43-I42,0)</f>
        <v>5728.8153189413333</v>
      </c>
      <c r="J48" s="1">
        <f>IF(J$4&lt;=核心参数输入!$B$9,J43-J42,0)</f>
        <v>0</v>
      </c>
      <c r="K48" s="1">
        <f>IF(K$4&lt;=核心参数输入!$B$9,K43-K42,0)</f>
        <v>0</v>
      </c>
      <c r="L48" s="1">
        <f>IF(L$4&lt;=核心参数输入!$B$9,L43-L42,0)</f>
        <v>0</v>
      </c>
      <c r="M48" s="1">
        <f>IF(M$4&lt;=核心参数输入!$B$9,M43-M42,0)</f>
        <v>0</v>
      </c>
      <c r="N48" s="1">
        <f>IF(N$4&lt;=核心参数输入!$B$9,N43-N42,0)</f>
        <v>-9.0949470177292824E-13</v>
      </c>
      <c r="O48" s="1">
        <f>IF(O$4&lt;=核心参数输入!$B$9,O43-O42,0)</f>
        <v>999.91491246842088</v>
      </c>
      <c r="P48" s="1">
        <f>IF(P$4&lt;=核心参数输入!$B$9,P43-P42,0)</f>
        <v>1012.7174554043415</v>
      </c>
      <c r="Q48" s="1">
        <f>IF(Q$4&lt;=核心参数输入!$B$9,Q43-Q42,0)</f>
        <v>1025.6861910567789</v>
      </c>
      <c r="R48" s="1">
        <f>IF(R$4&lt;=核心参数输入!$B$9,R43-R42,0)</f>
        <v>1038.8230954079302</v>
      </c>
      <c r="S48" s="1">
        <f>IF(S$4&lt;=核心参数输入!$B$9,S43-S42,0)</f>
        <v>1052.130163741555</v>
      </c>
      <c r="T48" s="1">
        <f>IF(T$4&lt;=核心参数输入!$B$9,T43-T42,0)</f>
        <v>1065.6094107257341</v>
      </c>
      <c r="U48" s="1">
        <f>IF(U$4&lt;=核心参数输入!$B$9,U43-U42,0)</f>
        <v>1079.2628704927372</v>
      </c>
      <c r="V48" s="1">
        <f>IF(V$4&lt;=核心参数输入!$B$9,V43-V42,0)</f>
        <v>1093.0925967158676</v>
      </c>
      <c r="W48" s="1">
        <f>IF(W$4&lt;=核心参数输入!$B$9,W43-W42,0)</f>
        <v>1107.1006626831593</v>
      </c>
      <c r="X48" s="1">
        <f>IF(X$4&lt;=核心参数输入!$B$9,X43-X42,0)</f>
        <v>1621.2891613677918</v>
      </c>
      <c r="Y48" s="1">
        <f>IF(Y$4&lt;=核心参数输入!$B$9,Y43-Y42,0)</f>
        <v>0</v>
      </c>
      <c r="Z48" s="1">
        <f>IF(Z$4&lt;=核心参数输入!$B$9,Z43-Z42,0)</f>
        <v>0</v>
      </c>
      <c r="AA48" s="1">
        <f>IF(AA$4&lt;=核心参数输入!$B$9,AA43-AA42,0)</f>
        <v>0</v>
      </c>
      <c r="AB48" s="1">
        <f>IF(AB$4&lt;=核心参数输入!$B$9,AB43-AB42,0)</f>
        <v>0</v>
      </c>
      <c r="AC48" s="1">
        <f>IF(AC$4&lt;=核心参数输入!$B$9,AC43-AC42,0)</f>
        <v>0</v>
      </c>
      <c r="AD48" s="1">
        <f>IF(AD$4&lt;=核心参数输入!$B$9,AD43-AD42,0)</f>
        <v>0</v>
      </c>
      <c r="AE48" s="1">
        <f>IF(AE$4&lt;=核心参数输入!$B$9,AE43-AE42,0)</f>
        <v>0</v>
      </c>
      <c r="AF48" s="1">
        <f>IF(AF$4&lt;=核心参数输入!$B$9,AF43-AF42,0)</f>
        <v>0</v>
      </c>
      <c r="AG48" s="1">
        <f>IF(AG$4&lt;=核心参数输入!$B$9,AG43-AG42,0)</f>
        <v>0</v>
      </c>
      <c r="AH48" s="1">
        <f>IF(AH$4&lt;=核心参数输入!$B$9,AH43-AH42,0)</f>
        <v>0</v>
      </c>
    </row>
    <row r="49" spans="1:34" ht="21" customHeight="1">
      <c r="A49" s="11" t="s">
        <v>294</v>
      </c>
      <c r="B49" s="11" t="s">
        <v>54</v>
      </c>
      <c r="D49" s="1">
        <f>IF(D$4&lt;=核心参数输入!$B$9,0+D26,0)</f>
        <v>-8000</v>
      </c>
      <c r="E49" s="1">
        <f>IF(E$4&lt;=核心参数输入!$B$9,D49+E26,0)</f>
        <v>-23876</v>
      </c>
      <c r="F49" s="1">
        <f>IF(F$4&lt;=核心参数输入!$B$9,E49+F26,0)</f>
        <v>-45044</v>
      </c>
      <c r="G49" s="1">
        <f>IF(G$4&lt;=核心参数输入!$B$9,F49+G26,0)</f>
        <v>-60920</v>
      </c>
      <c r="H49" s="1">
        <f>IF(H$4&lt;=核心参数输入!$B$9,G49+H26,0)</f>
        <v>-48909.858265374998</v>
      </c>
      <c r="I49" s="1">
        <f>IF(I$4&lt;=核心参数输入!$B$9,H49+I26,0)</f>
        <v>-31985.395581299748</v>
      </c>
      <c r="J49" s="1">
        <f>IF(J$4&lt;=核心参数输入!$B$9,I49+J26,0)</f>
        <v>-18930.116839941773</v>
      </c>
      <c r="K49" s="1">
        <f>IF(K$4&lt;=核心参数输入!$B$9,J49+K26,0)</f>
        <v>-18002.200465364469</v>
      </c>
      <c r="L49" s="1">
        <f>IF(L$4&lt;=核心参数输入!$B$9,K49+L26,0)</f>
        <v>-17046.448622517859</v>
      </c>
      <c r="M49" s="1">
        <f>IF(M$4&lt;=核心参数输入!$B$9,L49+M26,0)</f>
        <v>-16078.381150708548</v>
      </c>
      <c r="N49" s="1">
        <f>IF(N$4&lt;=核心参数输入!$B$9,M49+N26,0)</f>
        <v>-15097.837670225697</v>
      </c>
      <c r="O49" s="1">
        <f>IF(O$4&lt;=核心参数输入!$B$9,N49+O26,0)</f>
        <v>-14104.655882757277</v>
      </c>
      <c r="P49" s="1">
        <f>IF(P$4&lt;=核心参数输入!$B$9,O49+P26,0)</f>
        <v>-13098.671552352935</v>
      </c>
      <c r="Q49" s="1">
        <f>IF(Q$4&lt;=核心参数输入!$B$9,P49+Q26,0)</f>
        <v>-12079.718486296155</v>
      </c>
      <c r="R49" s="1">
        <f>IF(R$4&lt;=核心参数输入!$B$9,Q49+R26,0)</f>
        <v>-11047.628515888224</v>
      </c>
      <c r="S49" s="1">
        <f>IF(S$4&lt;=核心参数输入!$B$9,R49+S26,0)</f>
        <v>-10002.231477146668</v>
      </c>
      <c r="T49" s="1">
        <f>IF(T$4&lt;=核心参数输入!$B$9,S49+T26,0)</f>
        <v>-8943.3551914209347</v>
      </c>
      <c r="U49" s="1">
        <f>IF(U$4&lt;=核心参数输入!$B$9,T49+U26,0)</f>
        <v>-7870.825445928198</v>
      </c>
      <c r="V49" s="1">
        <f>IF(V$4&lt;=核心参数输入!$B$9,U49+V26,0)</f>
        <v>-6784.4659742123304</v>
      </c>
      <c r="W49" s="1">
        <f>IF(W$4&lt;=核心参数输入!$B$9,V49+W26,0)</f>
        <v>-5684.0984365291715</v>
      </c>
      <c r="X49" s="1">
        <f>IF(X$4&lt;=核心参数输入!$B$9,W49+X26,0)</f>
        <v>-4069.5424001613796</v>
      </c>
      <c r="Y49" s="1">
        <f>IF(Y$4&lt;=核心参数输入!$B$9,X49+Y26,0)</f>
        <v>0</v>
      </c>
      <c r="Z49" s="1">
        <f>IF(Z$4&lt;=核心参数输入!$B$9,Y49+Z26,0)</f>
        <v>0</v>
      </c>
      <c r="AA49" s="1">
        <f>IF(AA$4&lt;=核心参数输入!$B$9,Z49+AA26,0)</f>
        <v>0</v>
      </c>
      <c r="AB49" s="1">
        <f>IF(AB$4&lt;=核心参数输入!$B$9,AA49+AB26,0)</f>
        <v>0</v>
      </c>
      <c r="AC49" s="1">
        <f>IF(AC$4&lt;=核心参数输入!$B$9,AB49+AC26,0)</f>
        <v>0</v>
      </c>
      <c r="AD49" s="1">
        <f>IF(AD$4&lt;=核心参数输入!$B$9,AC49+AD26,0)</f>
        <v>0</v>
      </c>
      <c r="AE49" s="1">
        <f>IF(AE$4&lt;=核心参数输入!$B$9,AD49+AE26,0)</f>
        <v>0</v>
      </c>
      <c r="AF49" s="1">
        <f>IF(AF$4&lt;=核心参数输入!$B$9,AE49+AF26,0)</f>
        <v>0</v>
      </c>
      <c r="AG49" s="1">
        <f>IF(AG$4&lt;=核心参数输入!$B$9,AF49+AG26,0)</f>
        <v>0</v>
      </c>
      <c r="AH49" s="1">
        <f>IF(AH$4&lt;=核心参数输入!$B$9,AG49+AH26,0)</f>
        <v>0</v>
      </c>
    </row>
    <row r="50" spans="1:34" ht="21" customHeight="1">
      <c r="A50" s="11" t="s">
        <v>295</v>
      </c>
      <c r="B50" s="11" t="s">
        <v>54</v>
      </c>
      <c r="D50" s="1">
        <f>IF(D$4&lt;=核心参数输入!$B$9,D26/(1+核心参数输入!$B$71)^D$4,0)</f>
        <v>-8000</v>
      </c>
      <c r="E50" s="1">
        <f>IF(E$4&lt;=核心参数输入!$B$9,E26/(1+核心参数输入!$B$71)^E$4,0)</f>
        <v>-14699.999999999998</v>
      </c>
      <c r="F50" s="1">
        <f>IF(F$4&lt;=核心参数输入!$B$9,F26/(1+核心参数输入!$B$71)^F$4,0)</f>
        <v>-18148.148148148146</v>
      </c>
      <c r="G50" s="1">
        <f>IF(G$4&lt;=核心参数输入!$B$9,G26/(1+核心参数输入!$B$71)^G$4,0)</f>
        <v>-12602.880658436212</v>
      </c>
      <c r="H50" s="1">
        <f>IF(H$4&lt;=核心参数输入!$B$9,H26/(1+核心参数输入!$B$71)^H$4,0)</f>
        <v>8827.8127112659531</v>
      </c>
      <c r="I50" s="1">
        <f>IF(I$4&lt;=核心参数输入!$B$9,I26/(1+核心参数输入!$B$71)^I$4,0)</f>
        <v>11518.504921606385</v>
      </c>
      <c r="J50" s="1">
        <f>IF(J$4&lt;=核心参数输入!$B$9,J26/(1+核心参数输入!$B$71)^J$4,0)</f>
        <v>8227.0401332964811</v>
      </c>
      <c r="K50" s="1">
        <f>IF(K$4&lt;=核心参数输入!$B$9,K26/(1+核心参数输入!$B$71)^K$4,0)</f>
        <v>541.43029217231788</v>
      </c>
      <c r="L50" s="1">
        <f>IF(L$4&lt;=核心参数输入!$B$9,L26/(1+核心参数输入!$B$71)^L$4,0)</f>
        <v>516.36298199544649</v>
      </c>
      <c r="M50" s="1">
        <f>IF(M$4&lt;=核心参数输入!$B$9,M26/(1+核心参数输入!$B$71)^M$4,0)</f>
        <v>484.27475288617046</v>
      </c>
      <c r="N50" s="1">
        <f>IF(N$4&lt;=核心参数输入!$B$9,N26/(1+核心参数输入!$B$71)^N$4,0)</f>
        <v>454.18135494354783</v>
      </c>
      <c r="O50" s="1">
        <f>IF(O$4&lt;=核心参数输入!$B$9,O26/(1+核心参数输入!$B$71)^O$4,0)</f>
        <v>425.95864485155505</v>
      </c>
      <c r="P50" s="1">
        <f>IF(P$4&lt;=核心参数输入!$B$9,P26/(1+核心参数输入!$B$71)^P$4,0)</f>
        <v>399.49021858583882</v>
      </c>
      <c r="Q50" s="1">
        <f>IF(Q$4&lt;=核心参数输入!$B$9,Q26/(1+核心参数输入!$B$71)^Q$4,0)</f>
        <v>374.66692772746711</v>
      </c>
      <c r="R50" s="1">
        <f>IF(R$4&lt;=核心参数输入!$B$9,R26/(1+核心参数输入!$B$71)^R$4,0)</f>
        <v>351.38642610555814</v>
      </c>
      <c r="S50" s="1">
        <f>IF(S$4&lt;=核心参数输入!$B$9,S26/(1+核心参数输入!$B$71)^S$4,0)</f>
        <v>329.55274485918034</v>
      </c>
      <c r="T50" s="1">
        <f>IF(T$4&lt;=核心参数输入!$B$9,T26/(1+核心参数输入!$B$71)^T$4,0)</f>
        <v>309.07589412974932</v>
      </c>
      <c r="U50" s="1">
        <f>IF(U$4&lt;=核心参数输入!$B$9,U26/(1+核心参数输入!$B$71)^U$4,0)</f>
        <v>289.87148970830117</v>
      </c>
      <c r="V50" s="1">
        <f>IF(V$4&lt;=核心参数输入!$B$9,V26/(1+核心参数输入!$B$71)^V$4,0)</f>
        <v>271.86040306796599</v>
      </c>
      <c r="W50" s="1">
        <f>IF(W$4&lt;=核心参数输入!$B$9,W26/(1+核心参数输入!$B$71)^W$4,0)</f>
        <v>254.96843331118043</v>
      </c>
      <c r="X50" s="1">
        <f>IF(X$4&lt;=核心参数输入!$B$9,X26/(1+核心参数输入!$B$71)^X$4,0)</f>
        <v>346.40010335610845</v>
      </c>
      <c r="Y50" s="1">
        <f>IF(Y$4&lt;=核心参数输入!$B$9,Y26/(1+核心参数输入!$B$71)^Y$4,0)</f>
        <v>0</v>
      </c>
      <c r="Z50" s="1">
        <f>IF(Z$4&lt;=核心参数输入!$B$9,Z26/(1+核心参数输入!$B$71)^Z$4,0)</f>
        <v>0</v>
      </c>
      <c r="AA50" s="1">
        <f>IF(AA$4&lt;=核心参数输入!$B$9,AA26/(1+核心参数输入!$B$71)^AA$4,0)</f>
        <v>0</v>
      </c>
      <c r="AB50" s="1">
        <f>IF(AB$4&lt;=核心参数输入!$B$9,AB26/(1+核心参数输入!$B$71)^AB$4,0)</f>
        <v>0</v>
      </c>
      <c r="AC50" s="1">
        <f>IF(AC$4&lt;=核心参数输入!$B$9,AC26/(1+核心参数输入!$B$71)^AC$4,0)</f>
        <v>0</v>
      </c>
      <c r="AD50" s="1">
        <f>IF(AD$4&lt;=核心参数输入!$B$9,AD26/(1+核心参数输入!$B$71)^AD$4,0)</f>
        <v>0</v>
      </c>
      <c r="AE50" s="1">
        <f>IF(AE$4&lt;=核心参数输入!$B$9,AE26/(1+核心参数输入!$B$71)^AE$4,0)</f>
        <v>0</v>
      </c>
      <c r="AF50" s="1">
        <f>IF(AF$4&lt;=核心参数输入!$B$9,AF26/(1+核心参数输入!$B$71)^AF$4,0)</f>
        <v>0</v>
      </c>
      <c r="AG50" s="1">
        <f>IF(AG$4&lt;=核心参数输入!$B$9,AG26/(1+核心参数输入!$B$71)^AG$4,0)</f>
        <v>0</v>
      </c>
      <c r="AH50" s="1">
        <f>IF(AH$4&lt;=核心参数输入!$B$9,AH26/(1+核心参数输入!$B$71)^AH$4,0)</f>
        <v>0</v>
      </c>
    </row>
    <row r="51" spans="1:34" ht="21" customHeight="1">
      <c r="A51" s="11" t="s">
        <v>296</v>
      </c>
      <c r="B51" s="11" t="s">
        <v>54</v>
      </c>
      <c r="D51" s="1">
        <f>IF(D$4&lt;=核心参数输入!$B$9,0+D50,0)</f>
        <v>-8000</v>
      </c>
      <c r="E51" s="1">
        <f>IF(E$4&lt;=核心参数输入!$B$9,D51+E50,0)</f>
        <v>-22700</v>
      </c>
      <c r="F51" s="1">
        <f>IF(F$4&lt;=核心参数输入!$B$9,E51+F50,0)</f>
        <v>-40848.148148148146</v>
      </c>
      <c r="G51" s="1">
        <f>IF(G$4&lt;=核心参数输入!$B$9,F51+G50,0)</f>
        <v>-53451.028806584356</v>
      </c>
      <c r="H51" s="1">
        <f>IF(H$4&lt;=核心参数输入!$B$9,G51+H50,0)</f>
        <v>-44623.216095318407</v>
      </c>
      <c r="I51" s="1">
        <f>IF(I$4&lt;=核心参数输入!$B$9,H51+I50,0)</f>
        <v>-33104.711173712021</v>
      </c>
      <c r="J51" s="1">
        <f>IF(J$4&lt;=核心参数输入!$B$9,I51+J50,0)</f>
        <v>-24877.671040415538</v>
      </c>
      <c r="K51" s="1">
        <f>IF(K$4&lt;=核心参数输入!$B$9,J51+K50,0)</f>
        <v>-24336.240748243221</v>
      </c>
      <c r="L51" s="1">
        <f>IF(L$4&lt;=核心参数输入!$B$9,K51+L50,0)</f>
        <v>-23819.877766247773</v>
      </c>
      <c r="M51" s="1">
        <f>IF(M$4&lt;=核心参数输入!$B$9,L51+M50,0)</f>
        <v>-23335.603013361604</v>
      </c>
      <c r="N51" s="1">
        <f>IF(N$4&lt;=核心参数输入!$B$9,M51+N50,0)</f>
        <v>-22881.421658418058</v>
      </c>
      <c r="O51" s="1">
        <f>IF(O$4&lt;=核心参数输入!$B$9,N51+O50,0)</f>
        <v>-22455.463013566503</v>
      </c>
      <c r="P51" s="1">
        <f>IF(P$4&lt;=核心参数输入!$B$9,O51+P50,0)</f>
        <v>-22055.972794980666</v>
      </c>
      <c r="Q51" s="1">
        <f>IF(Q$4&lt;=核心参数输入!$B$9,P51+Q50,0)</f>
        <v>-21681.305867253199</v>
      </c>
      <c r="R51" s="1">
        <f>IF(R$4&lt;=核心参数输入!$B$9,Q51+R50,0)</f>
        <v>-21329.919441147642</v>
      </c>
      <c r="S51" s="1">
        <f>IF(S$4&lt;=核心参数输入!$B$9,R51+S50,0)</f>
        <v>-21000.36669628846</v>
      </c>
      <c r="T51" s="1">
        <f>IF(T$4&lt;=核心参数输入!$B$9,S51+T50,0)</f>
        <v>-20691.29080215871</v>
      </c>
      <c r="U51" s="1">
        <f>IF(U$4&lt;=核心参数输入!$B$9,T51+U50,0)</f>
        <v>-20401.419312450409</v>
      </c>
      <c r="V51" s="1">
        <f>IF(V$4&lt;=核心参数输入!$B$9,U51+V50,0)</f>
        <v>-20129.558909382442</v>
      </c>
      <c r="W51" s="1">
        <f>IF(W$4&lt;=核心参数输入!$B$9,V51+W50,0)</f>
        <v>-19874.590476071262</v>
      </c>
      <c r="X51" s="1">
        <f>IF(X$4&lt;=核心参数输入!$B$9,W51+X50,0)</f>
        <v>-19528.190372715155</v>
      </c>
      <c r="Y51" s="1">
        <f>IF(Y$4&lt;=核心参数输入!$B$9,X51+Y50,0)</f>
        <v>0</v>
      </c>
      <c r="Z51" s="1">
        <f>IF(Z$4&lt;=核心参数输入!$B$9,Y51+Z50,0)</f>
        <v>0</v>
      </c>
      <c r="AA51" s="1">
        <f>IF(AA$4&lt;=核心参数输入!$B$9,Z51+AA50,0)</f>
        <v>0</v>
      </c>
      <c r="AB51" s="1">
        <f>IF(AB$4&lt;=核心参数输入!$B$9,AA51+AB50,0)</f>
        <v>0</v>
      </c>
      <c r="AC51" s="1">
        <f>IF(AC$4&lt;=核心参数输入!$B$9,AB51+AC50,0)</f>
        <v>0</v>
      </c>
      <c r="AD51" s="1">
        <f>IF(AD$4&lt;=核心参数输入!$B$9,AC51+AD50,0)</f>
        <v>0</v>
      </c>
      <c r="AE51" s="1">
        <f>IF(AE$4&lt;=核心参数输入!$B$9,AD51+AE50,0)</f>
        <v>0</v>
      </c>
      <c r="AF51" s="1">
        <f>IF(AF$4&lt;=核心参数输入!$B$9,AE51+AF50,0)</f>
        <v>0</v>
      </c>
      <c r="AG51" s="1">
        <f>IF(AG$4&lt;=核心参数输入!$B$9,AF51+AG50,0)</f>
        <v>0</v>
      </c>
      <c r="AH51" s="1">
        <f>IF(AH$4&lt;=核心参数输入!$B$9,AG51+AH50,0)</f>
        <v>0</v>
      </c>
    </row>
    <row r="52" spans="1:34" ht="21" customHeight="1">
      <c r="A52" s="11" t="s">
        <v>297</v>
      </c>
      <c r="B52" s="11" t="s">
        <v>27</v>
      </c>
      <c r="D52" s="1" t="str">
        <f>IF(D$4&lt;=核心参数输入!$B$9,IF(AND(D$4&gt;核心参数输入!$B$16,融资与还本付息!D18&gt;0.000001),D19/融资与还本付息!D18,""),"")</f>
        <v/>
      </c>
      <c r="E52" s="1" t="str">
        <f>IF(E$4&lt;=核心参数输入!$B$9,IF(AND(E$4&gt;核心参数输入!$B$16,融资与还本付息!E18&gt;0.000001),E19/融资与还本付息!E18,""),"")</f>
        <v/>
      </c>
      <c r="F52" s="1" t="str">
        <f>IF(F$4&lt;=核心参数输入!$B$9,IF(AND(F$4&gt;核心参数输入!$B$16,融资与还本付息!F18&gt;0.000001),F19/融资与还本付息!F18,""),"")</f>
        <v/>
      </c>
      <c r="G52" s="1" t="str">
        <f>IF(G$4&lt;=核心参数输入!$B$9,IF(AND(G$4&gt;核心参数输入!$B$16,融资与还本付息!G18&gt;0.000001),G19/融资与还本付息!G18,""),"")</f>
        <v/>
      </c>
      <c r="H52" s="1">
        <f>IF(H$4&lt;=核心参数输入!$B$9,IF(AND(H$4&gt;核心参数输入!$B$16,融资与还本付息!H18&gt;0.000001),H19/融资与还本付息!H18,""),"")</f>
        <v>2.3621723361449334</v>
      </c>
      <c r="I52" s="1">
        <f>IF(I$4&lt;=核心参数输入!$B$9,IF(AND(I$4&gt;核心参数输入!$B$16,融资与还本付息!I18&gt;0.000001),I19/融资与还本付息!I18,""),"")</f>
        <v>3.2758873724215207</v>
      </c>
      <c r="J52" s="1">
        <f>IF(J$4&lt;=核心参数输入!$B$9,IF(AND(J$4&gt;核心参数输入!$B$16,融资与还本付息!J18&gt;0.000001),J19/融资与还本付息!J18,""),"")</f>
        <v>2.6183717567845761</v>
      </c>
      <c r="K52" s="1">
        <f>IF(K$4&lt;=核心参数输入!$B$9,IF(AND(K$4&gt;核心参数输入!$B$16,融资与还本付息!K18&gt;0.000001),K19/融资与还本付息!K18,""),"")</f>
        <v>0.20055108484127229</v>
      </c>
      <c r="L52" s="1">
        <f>IF(L$4&lt;=核心参数输入!$B$9,IF(AND(L$4&gt;核心参数输入!$B$16,融资与还本付息!L18&gt;0.000001),L19/融资与还本付息!L18,""),"")</f>
        <v>0.21601087581402845</v>
      </c>
      <c r="M52" s="1">
        <f>IF(M$4&lt;=核心参数输入!$B$9,IF(AND(M$4&gt;核心参数输入!$B$16,融资与还本付息!M18&gt;0.000001),M19/融资与还本付息!M18,""),"")</f>
        <v>0.22815009104903</v>
      </c>
      <c r="N52" s="1">
        <f>IF(N$4&lt;=核心参数输入!$B$9,IF(AND(N$4&gt;核心参数输入!$B$16,融资与还本付息!N18&gt;0.000001),N19/融资与还本付息!N18,""),"")</f>
        <v>0.23076840477897337</v>
      </c>
      <c r="O52" s="1" t="str">
        <f>IF(O$4&lt;=核心参数输入!$B$9,IF(AND(O$4&gt;核心参数输入!$B$16,融资与还本付息!O18&gt;0.000001),O19/融资与还本付息!O18,""),"")</f>
        <v/>
      </c>
      <c r="P52" s="1" t="str">
        <f>IF(P$4&lt;=核心参数输入!$B$9,IF(AND(P$4&gt;核心参数输入!$B$16,融资与还本付息!P18&gt;0.000001),P19/融资与还本付息!P18,""),"")</f>
        <v/>
      </c>
      <c r="Q52" s="1" t="str">
        <f>IF(Q$4&lt;=核心参数输入!$B$9,IF(AND(Q$4&gt;核心参数输入!$B$16,融资与还本付息!Q18&gt;0.000001),Q19/融资与还本付息!Q18,""),"")</f>
        <v/>
      </c>
      <c r="R52" s="1" t="str">
        <f>IF(R$4&lt;=核心参数输入!$B$9,IF(AND(R$4&gt;核心参数输入!$B$16,融资与还本付息!R18&gt;0.000001),R19/融资与还本付息!R18,""),"")</f>
        <v/>
      </c>
      <c r="S52" s="1" t="str">
        <f>IF(S$4&lt;=核心参数输入!$B$9,IF(AND(S$4&gt;核心参数输入!$B$16,融资与还本付息!S18&gt;0.000001),S19/融资与还本付息!S18,""),"")</f>
        <v/>
      </c>
      <c r="T52" s="1" t="str">
        <f>IF(T$4&lt;=核心参数输入!$B$9,IF(AND(T$4&gt;核心参数输入!$B$16,融资与还本付息!T18&gt;0.000001),T19/融资与还本付息!T18,""),"")</f>
        <v/>
      </c>
      <c r="U52" s="1" t="str">
        <f>IF(U$4&lt;=核心参数输入!$B$9,IF(AND(U$4&gt;核心参数输入!$B$16,融资与还本付息!U18&gt;0.000001),U19/融资与还本付息!U18,""),"")</f>
        <v/>
      </c>
      <c r="V52" s="1" t="str">
        <f>IF(V$4&lt;=核心参数输入!$B$9,IF(AND(V$4&gt;核心参数输入!$B$16,融资与还本付息!V18&gt;0.000001),V19/融资与还本付息!V18,""),"")</f>
        <v/>
      </c>
      <c r="W52" s="1" t="str">
        <f>IF(W$4&lt;=核心参数输入!$B$9,IF(AND(W$4&gt;核心参数输入!$B$16,融资与还本付息!W18&gt;0.000001),W19/融资与还本付息!W18,""),"")</f>
        <v/>
      </c>
      <c r="X52" s="1" t="str">
        <f>IF(X$4&lt;=核心参数输入!$B$9,IF(AND(X$4&gt;核心参数输入!$B$16,融资与还本付息!X18&gt;0.000001),X19/融资与还本付息!X18,""),"")</f>
        <v/>
      </c>
      <c r="Y52" s="1" t="str">
        <f>IF(Y$4&lt;=核心参数输入!$B$9,IF(AND(Y$4&gt;核心参数输入!$B$16,融资与还本付息!Y18&gt;0.000001),Y19/融资与还本付息!Y18,""),"")</f>
        <v/>
      </c>
      <c r="Z52" s="1" t="str">
        <f>IF(Z$4&lt;=核心参数输入!$B$9,IF(AND(Z$4&gt;核心参数输入!$B$16,融资与还本付息!Z18&gt;0.000001),Z19/融资与还本付息!Z18,""),"")</f>
        <v/>
      </c>
      <c r="AA52" s="1" t="str">
        <f>IF(AA$4&lt;=核心参数输入!$B$9,IF(AND(AA$4&gt;核心参数输入!$B$16,融资与还本付息!AA18&gt;0.000001),AA19/融资与还本付息!AA18,""),"")</f>
        <v/>
      </c>
      <c r="AB52" s="1" t="str">
        <f>IF(AB$4&lt;=核心参数输入!$B$9,IF(AND(AB$4&gt;核心参数输入!$B$16,融资与还本付息!AB18&gt;0.000001),AB19/融资与还本付息!AB18,""),"")</f>
        <v/>
      </c>
      <c r="AC52" s="1" t="str">
        <f>IF(AC$4&lt;=核心参数输入!$B$9,IF(AND(AC$4&gt;核心参数输入!$B$16,融资与还本付息!AC18&gt;0.000001),AC19/融资与还本付息!AC18,""),"")</f>
        <v/>
      </c>
      <c r="AD52" s="1" t="str">
        <f>IF(AD$4&lt;=核心参数输入!$B$9,IF(AND(AD$4&gt;核心参数输入!$B$16,融资与还本付息!AD18&gt;0.000001),AD19/融资与还本付息!AD18,""),"")</f>
        <v/>
      </c>
      <c r="AE52" s="1" t="str">
        <f>IF(AE$4&lt;=核心参数输入!$B$9,IF(AND(AE$4&gt;核心参数输入!$B$16,融资与还本付息!AE18&gt;0.000001),AE19/融资与还本付息!AE18,""),"")</f>
        <v/>
      </c>
      <c r="AF52" s="1" t="str">
        <f>IF(AF$4&lt;=核心参数输入!$B$9,IF(AND(AF$4&gt;核心参数输入!$B$16,融资与还本付息!AF18&gt;0.000001),AF19/融资与还本付息!AF18,""),"")</f>
        <v/>
      </c>
      <c r="AG52" s="1" t="str">
        <f>IF(AG$4&lt;=核心参数输入!$B$9,IF(AND(AG$4&gt;核心参数输入!$B$16,融资与还本付息!AG18&gt;0.000001),AG19/融资与还本付息!AG18,""),"")</f>
        <v/>
      </c>
      <c r="AH52" s="1" t="str">
        <f>IF(AH$4&lt;=核心参数输入!$B$9,IF(AND(AH$4&gt;核心参数输入!$B$16,融资与还本付息!AH18&gt;0.000001),AH19/融资与还本付息!AH18,""),"")</f>
        <v/>
      </c>
    </row>
    <row r="53" spans="1:34" ht="21" customHeight="1">
      <c r="A53" s="11" t="s">
        <v>298</v>
      </c>
      <c r="B53" s="11" t="s">
        <v>27</v>
      </c>
      <c r="D53" s="1">
        <f>IF(D$4&lt;=核心参数输入!$B$9,IF(ISNUMBER(D52),D52,1E+99),1E+99)</f>
        <v>9.9999999999999997E+98</v>
      </c>
      <c r="E53" s="1">
        <f>IF(E$4&lt;=核心参数输入!$B$9,IF(ISNUMBER(E52),E52,1E+99),1E+99)</f>
        <v>9.9999999999999997E+98</v>
      </c>
      <c r="F53" s="1">
        <f>IF(F$4&lt;=核心参数输入!$B$9,IF(ISNUMBER(F52),F52,1E+99),1E+99)</f>
        <v>9.9999999999999997E+98</v>
      </c>
      <c r="G53" s="1">
        <f>IF(G$4&lt;=核心参数输入!$B$9,IF(ISNUMBER(G52),G52,1E+99),1E+99)</f>
        <v>9.9999999999999997E+98</v>
      </c>
      <c r="H53" s="1">
        <f>IF(H$4&lt;=核心参数输入!$B$9,IF(ISNUMBER(H52),H52,1E+99),1E+99)</f>
        <v>2.3621723361449334</v>
      </c>
      <c r="I53" s="1">
        <f>IF(I$4&lt;=核心参数输入!$B$9,IF(ISNUMBER(I52),I52,1E+99),1E+99)</f>
        <v>3.2758873724215207</v>
      </c>
      <c r="J53" s="1">
        <f>IF(J$4&lt;=核心参数输入!$B$9,IF(ISNUMBER(J52),J52,1E+99),1E+99)</f>
        <v>2.6183717567845761</v>
      </c>
      <c r="K53" s="1">
        <f>IF(K$4&lt;=核心参数输入!$B$9,IF(ISNUMBER(K52),K52,1E+99),1E+99)</f>
        <v>0.20055108484127229</v>
      </c>
      <c r="L53" s="1">
        <f>IF(L$4&lt;=核心参数输入!$B$9,IF(ISNUMBER(L52),L52,1E+99),1E+99)</f>
        <v>0.21601087581402845</v>
      </c>
      <c r="M53" s="1">
        <f>IF(M$4&lt;=核心参数输入!$B$9,IF(ISNUMBER(M52),M52,1E+99),1E+99)</f>
        <v>0.22815009104903</v>
      </c>
      <c r="N53" s="1">
        <f>IF(N$4&lt;=核心参数输入!$B$9,IF(ISNUMBER(N52),N52,1E+99),1E+99)</f>
        <v>0.23076840477897337</v>
      </c>
      <c r="O53" s="1">
        <f>IF(O$4&lt;=核心参数输入!$B$9,IF(ISNUMBER(O52),O52,1E+99),1E+99)</f>
        <v>9.9999999999999997E+98</v>
      </c>
      <c r="P53" s="1">
        <f>IF(P$4&lt;=核心参数输入!$B$9,IF(ISNUMBER(P52),P52,1E+99),1E+99)</f>
        <v>9.9999999999999997E+98</v>
      </c>
      <c r="Q53" s="1">
        <f>IF(Q$4&lt;=核心参数输入!$B$9,IF(ISNUMBER(Q52),Q52,1E+99),1E+99)</f>
        <v>9.9999999999999997E+98</v>
      </c>
      <c r="R53" s="1">
        <f>IF(R$4&lt;=核心参数输入!$B$9,IF(ISNUMBER(R52),R52,1E+99),1E+99)</f>
        <v>9.9999999999999997E+98</v>
      </c>
      <c r="S53" s="1">
        <f>IF(S$4&lt;=核心参数输入!$B$9,IF(ISNUMBER(S52),S52,1E+99),1E+99)</f>
        <v>9.9999999999999997E+98</v>
      </c>
      <c r="T53" s="1">
        <f>IF(T$4&lt;=核心参数输入!$B$9,IF(ISNUMBER(T52),T52,1E+99),1E+99)</f>
        <v>9.9999999999999997E+98</v>
      </c>
      <c r="U53" s="1">
        <f>IF(U$4&lt;=核心参数输入!$B$9,IF(ISNUMBER(U52),U52,1E+99),1E+99)</f>
        <v>9.9999999999999997E+98</v>
      </c>
      <c r="V53" s="1">
        <f>IF(V$4&lt;=核心参数输入!$B$9,IF(ISNUMBER(V52),V52,1E+99),1E+99)</f>
        <v>9.9999999999999997E+98</v>
      </c>
      <c r="W53" s="1">
        <f>IF(W$4&lt;=核心参数输入!$B$9,IF(ISNUMBER(W52),W52,1E+99),1E+99)</f>
        <v>9.9999999999999997E+98</v>
      </c>
      <c r="X53" s="1">
        <f>IF(X$4&lt;=核心参数输入!$B$9,IF(ISNUMBER(X52),X52,1E+99),1E+99)</f>
        <v>9.9999999999999997E+98</v>
      </c>
      <c r="Y53" s="1">
        <f>IF(Y$4&lt;=核心参数输入!$B$9,IF(ISNUMBER(Y52),Y52,1E+99),1E+99)</f>
        <v>9.9999999999999997E+98</v>
      </c>
      <c r="Z53" s="1">
        <f>IF(Z$4&lt;=核心参数输入!$B$9,IF(ISNUMBER(Z52),Z52,1E+99),1E+99)</f>
        <v>9.9999999999999997E+98</v>
      </c>
      <c r="AA53" s="1">
        <f>IF(AA$4&lt;=核心参数输入!$B$9,IF(ISNUMBER(AA52),AA52,1E+99),1E+99)</f>
        <v>9.9999999999999997E+98</v>
      </c>
      <c r="AB53" s="1">
        <f>IF(AB$4&lt;=核心参数输入!$B$9,IF(ISNUMBER(AB52),AB52,1E+99),1E+99)</f>
        <v>9.9999999999999997E+98</v>
      </c>
      <c r="AC53" s="1">
        <f>IF(AC$4&lt;=核心参数输入!$B$9,IF(ISNUMBER(AC52),AC52,1E+99),1E+99)</f>
        <v>9.9999999999999997E+98</v>
      </c>
      <c r="AD53" s="1">
        <f>IF(AD$4&lt;=核心参数输入!$B$9,IF(ISNUMBER(AD52),AD52,1E+99),1E+99)</f>
        <v>9.9999999999999997E+98</v>
      </c>
      <c r="AE53" s="1">
        <f>IF(AE$4&lt;=核心参数输入!$B$9,IF(ISNUMBER(AE52),AE52,1E+99),1E+99)</f>
        <v>9.9999999999999997E+98</v>
      </c>
      <c r="AF53" s="1">
        <f>IF(AF$4&lt;=核心参数输入!$B$9,IF(ISNUMBER(AF52),AF52,1E+99),1E+99)</f>
        <v>9.9999999999999997E+98</v>
      </c>
      <c r="AG53" s="1">
        <f>IF(AG$4&lt;=核心参数输入!$B$9,IF(ISNUMBER(AG52),AG52,1E+99),1E+99)</f>
        <v>9.9999999999999997E+98</v>
      </c>
      <c r="AH53" s="1">
        <f>IF(AH$4&lt;=核心参数输入!$B$9,IF(ISNUMBER(AH52),AH52,1E+99),1E+99)</f>
        <v>9.9999999999999997E+98</v>
      </c>
    </row>
    <row r="54" spans="1:34" ht="21" customHeight="1">
      <c r="A54" s="11" t="s">
        <v>299</v>
      </c>
      <c r="B54" s="11" t="s">
        <v>300</v>
      </c>
      <c r="D54" s="1">
        <f>IF(D$4&lt;=核心参数输入!$B$9,IF(AND(D$4&gt;0,0&lt;0,D49&gt;=0),1,0),0)</f>
        <v>0</v>
      </c>
      <c r="E54" s="1">
        <f>IF(E$4&lt;=核心参数输入!$B$9,IF(AND(E$4&gt;0,D49&lt;0,E49&gt;=0),1,0),0)</f>
        <v>0</v>
      </c>
      <c r="F54" s="1">
        <f>IF(F$4&lt;=核心参数输入!$B$9,IF(AND(F$4&gt;0,E49&lt;0,F49&gt;=0),1,0),0)</f>
        <v>0</v>
      </c>
      <c r="G54" s="1">
        <f>IF(G$4&lt;=核心参数输入!$B$9,IF(AND(G$4&gt;0,F49&lt;0,G49&gt;=0),1,0),0)</f>
        <v>0</v>
      </c>
      <c r="H54" s="1">
        <f>IF(H$4&lt;=核心参数输入!$B$9,IF(AND(H$4&gt;0,G49&lt;0,H49&gt;=0),1,0),0)</f>
        <v>0</v>
      </c>
      <c r="I54" s="1">
        <f>IF(I$4&lt;=核心参数输入!$B$9,IF(AND(I$4&gt;0,H49&lt;0,I49&gt;=0),1,0),0)</f>
        <v>0</v>
      </c>
      <c r="J54" s="1">
        <f>IF(J$4&lt;=核心参数输入!$B$9,IF(AND(J$4&gt;0,I49&lt;0,J49&gt;=0),1,0),0)</f>
        <v>0</v>
      </c>
      <c r="K54" s="1">
        <f>IF(K$4&lt;=核心参数输入!$B$9,IF(AND(K$4&gt;0,J49&lt;0,K49&gt;=0),1,0),0)</f>
        <v>0</v>
      </c>
      <c r="L54" s="1">
        <f>IF(L$4&lt;=核心参数输入!$B$9,IF(AND(L$4&gt;0,K49&lt;0,L49&gt;=0),1,0),0)</f>
        <v>0</v>
      </c>
      <c r="M54" s="1">
        <f>IF(M$4&lt;=核心参数输入!$B$9,IF(AND(M$4&gt;0,L49&lt;0,M49&gt;=0),1,0),0)</f>
        <v>0</v>
      </c>
      <c r="N54" s="1">
        <f>IF(N$4&lt;=核心参数输入!$B$9,IF(AND(N$4&gt;0,M49&lt;0,N49&gt;=0),1,0),0)</f>
        <v>0</v>
      </c>
      <c r="O54" s="1">
        <f>IF(O$4&lt;=核心参数输入!$B$9,IF(AND(O$4&gt;0,N49&lt;0,O49&gt;=0),1,0),0)</f>
        <v>0</v>
      </c>
      <c r="P54" s="1">
        <f>IF(P$4&lt;=核心参数输入!$B$9,IF(AND(P$4&gt;0,O49&lt;0,P49&gt;=0),1,0),0)</f>
        <v>0</v>
      </c>
      <c r="Q54" s="1">
        <f>IF(Q$4&lt;=核心参数输入!$B$9,IF(AND(Q$4&gt;0,P49&lt;0,Q49&gt;=0),1,0),0)</f>
        <v>0</v>
      </c>
      <c r="R54" s="1">
        <f>IF(R$4&lt;=核心参数输入!$B$9,IF(AND(R$4&gt;0,Q49&lt;0,R49&gt;=0),1,0),0)</f>
        <v>0</v>
      </c>
      <c r="S54" s="1">
        <f>IF(S$4&lt;=核心参数输入!$B$9,IF(AND(S$4&gt;0,R49&lt;0,S49&gt;=0),1,0),0)</f>
        <v>0</v>
      </c>
      <c r="T54" s="1">
        <f>IF(T$4&lt;=核心参数输入!$B$9,IF(AND(T$4&gt;0,S49&lt;0,T49&gt;=0),1,0),0)</f>
        <v>0</v>
      </c>
      <c r="U54" s="1">
        <f>IF(U$4&lt;=核心参数输入!$B$9,IF(AND(U$4&gt;0,T49&lt;0,U49&gt;=0),1,0),0)</f>
        <v>0</v>
      </c>
      <c r="V54" s="1">
        <f>IF(V$4&lt;=核心参数输入!$B$9,IF(AND(V$4&gt;0,U49&lt;0,V49&gt;=0),1,0),0)</f>
        <v>0</v>
      </c>
      <c r="W54" s="1">
        <f>IF(W$4&lt;=核心参数输入!$B$9,IF(AND(W$4&gt;0,V49&lt;0,W49&gt;=0),1,0),0)</f>
        <v>0</v>
      </c>
      <c r="X54" s="1">
        <f>IF(X$4&lt;=核心参数输入!$B$9,IF(AND(X$4&gt;0,W49&lt;0,X49&gt;=0),1,0),0)</f>
        <v>0</v>
      </c>
      <c r="Y54" s="1">
        <f>IF(Y$4&lt;=核心参数输入!$B$9,IF(AND(Y$4&gt;0,X49&lt;0,Y49&gt;=0),1,0),0)</f>
        <v>0</v>
      </c>
      <c r="Z54" s="1">
        <f>IF(Z$4&lt;=核心参数输入!$B$9,IF(AND(Z$4&gt;0,Y49&lt;0,Z49&gt;=0),1,0),0)</f>
        <v>0</v>
      </c>
      <c r="AA54" s="1">
        <f>IF(AA$4&lt;=核心参数输入!$B$9,IF(AND(AA$4&gt;0,Z49&lt;0,AA49&gt;=0),1,0),0)</f>
        <v>0</v>
      </c>
      <c r="AB54" s="1">
        <f>IF(AB$4&lt;=核心参数输入!$B$9,IF(AND(AB$4&gt;0,AA49&lt;0,AB49&gt;=0),1,0),0)</f>
        <v>0</v>
      </c>
      <c r="AC54" s="1">
        <f>IF(AC$4&lt;=核心参数输入!$B$9,IF(AND(AC$4&gt;0,AB49&lt;0,AC49&gt;=0),1,0),0)</f>
        <v>0</v>
      </c>
      <c r="AD54" s="1">
        <f>IF(AD$4&lt;=核心参数输入!$B$9,IF(AND(AD$4&gt;0,AC49&lt;0,AD49&gt;=0),1,0),0)</f>
        <v>0</v>
      </c>
      <c r="AE54" s="1">
        <f>IF(AE$4&lt;=核心参数输入!$B$9,IF(AND(AE$4&gt;0,AD49&lt;0,AE49&gt;=0),1,0),0)</f>
        <v>0</v>
      </c>
      <c r="AF54" s="1">
        <f>IF(AF$4&lt;=核心参数输入!$B$9,IF(AND(AF$4&gt;0,AE49&lt;0,AF49&gt;=0),1,0),0)</f>
        <v>0</v>
      </c>
      <c r="AG54" s="1">
        <f>IF(AG$4&lt;=核心参数输入!$B$9,IF(AND(AG$4&gt;0,AF49&lt;0,AG49&gt;=0),1,0),0)</f>
        <v>0</v>
      </c>
      <c r="AH54" s="1">
        <f>IF(AH$4&lt;=核心参数输入!$B$9,IF(AND(AH$4&gt;0,AG49&lt;0,AH49&gt;=0),1,0),0)</f>
        <v>0</v>
      </c>
    </row>
    <row r="55" spans="1:34" ht="21" customHeight="1">
      <c r="A55" s="11" t="s">
        <v>301</v>
      </c>
      <c r="B55" s="11" t="s">
        <v>300</v>
      </c>
      <c r="D55" s="1">
        <f>IF(D$4&lt;=核心参数输入!$B$9,IF(AND(D$4&gt;0,0&lt;0,D51&gt;=0),1,0),0)</f>
        <v>0</v>
      </c>
      <c r="E55" s="1">
        <f>IF(E$4&lt;=核心参数输入!$B$9,IF(AND(E$4&gt;0,D51&lt;0,E51&gt;=0),1,0),0)</f>
        <v>0</v>
      </c>
      <c r="F55" s="1">
        <f>IF(F$4&lt;=核心参数输入!$B$9,IF(AND(F$4&gt;0,E51&lt;0,F51&gt;=0),1,0),0)</f>
        <v>0</v>
      </c>
      <c r="G55" s="1">
        <f>IF(G$4&lt;=核心参数输入!$B$9,IF(AND(G$4&gt;0,F51&lt;0,G51&gt;=0),1,0),0)</f>
        <v>0</v>
      </c>
      <c r="H55" s="1">
        <f>IF(H$4&lt;=核心参数输入!$B$9,IF(AND(H$4&gt;0,G51&lt;0,H51&gt;=0),1,0),0)</f>
        <v>0</v>
      </c>
      <c r="I55" s="1">
        <f>IF(I$4&lt;=核心参数输入!$B$9,IF(AND(I$4&gt;0,H51&lt;0,I51&gt;=0),1,0),0)</f>
        <v>0</v>
      </c>
      <c r="J55" s="1">
        <f>IF(J$4&lt;=核心参数输入!$B$9,IF(AND(J$4&gt;0,I51&lt;0,J51&gt;=0),1,0),0)</f>
        <v>0</v>
      </c>
      <c r="K55" s="1">
        <f>IF(K$4&lt;=核心参数输入!$B$9,IF(AND(K$4&gt;0,J51&lt;0,K51&gt;=0),1,0),0)</f>
        <v>0</v>
      </c>
      <c r="L55" s="1">
        <f>IF(L$4&lt;=核心参数输入!$B$9,IF(AND(L$4&gt;0,K51&lt;0,L51&gt;=0),1,0),0)</f>
        <v>0</v>
      </c>
      <c r="M55" s="1">
        <f>IF(M$4&lt;=核心参数输入!$B$9,IF(AND(M$4&gt;0,L51&lt;0,M51&gt;=0),1,0),0)</f>
        <v>0</v>
      </c>
      <c r="N55" s="1">
        <f>IF(N$4&lt;=核心参数输入!$B$9,IF(AND(N$4&gt;0,M51&lt;0,N51&gt;=0),1,0),0)</f>
        <v>0</v>
      </c>
      <c r="O55" s="1">
        <f>IF(O$4&lt;=核心参数输入!$B$9,IF(AND(O$4&gt;0,N51&lt;0,O51&gt;=0),1,0),0)</f>
        <v>0</v>
      </c>
      <c r="P55" s="1">
        <f>IF(P$4&lt;=核心参数输入!$B$9,IF(AND(P$4&gt;0,O51&lt;0,P51&gt;=0),1,0),0)</f>
        <v>0</v>
      </c>
      <c r="Q55" s="1">
        <f>IF(Q$4&lt;=核心参数输入!$B$9,IF(AND(Q$4&gt;0,P51&lt;0,Q51&gt;=0),1,0),0)</f>
        <v>0</v>
      </c>
      <c r="R55" s="1">
        <f>IF(R$4&lt;=核心参数输入!$B$9,IF(AND(R$4&gt;0,Q51&lt;0,R51&gt;=0),1,0),0)</f>
        <v>0</v>
      </c>
      <c r="S55" s="1">
        <f>IF(S$4&lt;=核心参数输入!$B$9,IF(AND(S$4&gt;0,R51&lt;0,S51&gt;=0),1,0),0)</f>
        <v>0</v>
      </c>
      <c r="T55" s="1">
        <f>IF(T$4&lt;=核心参数输入!$B$9,IF(AND(T$4&gt;0,S51&lt;0,T51&gt;=0),1,0),0)</f>
        <v>0</v>
      </c>
      <c r="U55" s="1">
        <f>IF(U$4&lt;=核心参数输入!$B$9,IF(AND(U$4&gt;0,T51&lt;0,U51&gt;=0),1,0),0)</f>
        <v>0</v>
      </c>
      <c r="V55" s="1">
        <f>IF(V$4&lt;=核心参数输入!$B$9,IF(AND(V$4&gt;0,U51&lt;0,V51&gt;=0),1,0),0)</f>
        <v>0</v>
      </c>
      <c r="W55" s="1">
        <f>IF(W$4&lt;=核心参数输入!$B$9,IF(AND(W$4&gt;0,V51&lt;0,W51&gt;=0),1,0),0)</f>
        <v>0</v>
      </c>
      <c r="X55" s="1">
        <f>IF(X$4&lt;=核心参数输入!$B$9,IF(AND(X$4&gt;0,W51&lt;0,X51&gt;=0),1,0),0)</f>
        <v>0</v>
      </c>
      <c r="Y55" s="1">
        <f>IF(Y$4&lt;=核心参数输入!$B$9,IF(AND(Y$4&gt;0,X51&lt;0,Y51&gt;=0),1,0),0)</f>
        <v>0</v>
      </c>
      <c r="Z55" s="1">
        <f>IF(Z$4&lt;=核心参数输入!$B$9,IF(AND(Z$4&gt;0,Y51&lt;0,Z51&gt;=0),1,0),0)</f>
        <v>0</v>
      </c>
      <c r="AA55" s="1">
        <f>IF(AA$4&lt;=核心参数输入!$B$9,IF(AND(AA$4&gt;0,Z51&lt;0,AA51&gt;=0),1,0),0)</f>
        <v>0</v>
      </c>
      <c r="AB55" s="1">
        <f>IF(AB$4&lt;=核心参数输入!$B$9,IF(AND(AB$4&gt;0,AA51&lt;0,AB51&gt;=0),1,0),0)</f>
        <v>0</v>
      </c>
      <c r="AC55" s="1">
        <f>IF(AC$4&lt;=核心参数输入!$B$9,IF(AND(AC$4&gt;0,AB51&lt;0,AC51&gt;=0),1,0),0)</f>
        <v>0</v>
      </c>
      <c r="AD55" s="1">
        <f>IF(AD$4&lt;=核心参数输入!$B$9,IF(AND(AD$4&gt;0,AC51&lt;0,AD51&gt;=0),1,0),0)</f>
        <v>0</v>
      </c>
      <c r="AE55" s="1">
        <f>IF(AE$4&lt;=核心参数输入!$B$9,IF(AND(AE$4&gt;0,AD51&lt;0,AE51&gt;=0),1,0),0)</f>
        <v>0</v>
      </c>
      <c r="AF55" s="1">
        <f>IF(AF$4&lt;=核心参数输入!$B$9,IF(AND(AF$4&gt;0,AE51&lt;0,AF51&gt;=0),1,0),0)</f>
        <v>0</v>
      </c>
      <c r="AG55" s="1">
        <f>IF(AG$4&lt;=核心参数输入!$B$9,IF(AND(AG$4&gt;0,AF51&lt;0,AG51&gt;=0),1,0),0)</f>
        <v>0</v>
      </c>
      <c r="AH55" s="1">
        <f>IF(AH$4&lt;=核心参数输入!$B$9,IF(AND(AH$4&gt;0,AG51&lt;0,AH51&gt;=0),1,0),0)</f>
        <v>0</v>
      </c>
    </row>
    <row r="56" spans="1:34" ht="21" customHeight="1">
      <c r="A56" s="11" t="s">
        <v>302</v>
      </c>
      <c r="B56" s="11" t="s">
        <v>300</v>
      </c>
      <c r="D56" s="1">
        <f>IF(D$4&lt;=核心参数输入!$B$9,IF(ABS(D26)&lt;=0.000001,0,SIGN(D26)),0)</f>
        <v>-1</v>
      </c>
      <c r="E56" s="1">
        <f>IF(E$4&lt;=核心参数输入!$B$9,IF(ABS(E26)&lt;=0.000001,0,SIGN(E26)),0)</f>
        <v>-1</v>
      </c>
      <c r="F56" s="1">
        <f>IF(F$4&lt;=核心参数输入!$B$9,IF(ABS(F26)&lt;=0.000001,0,SIGN(F26)),0)</f>
        <v>-1</v>
      </c>
      <c r="G56" s="1">
        <f>IF(G$4&lt;=核心参数输入!$B$9,IF(ABS(G26)&lt;=0.000001,0,SIGN(G26)),0)</f>
        <v>-1</v>
      </c>
      <c r="H56" s="1">
        <f>IF(H$4&lt;=核心参数输入!$B$9,IF(ABS(H26)&lt;=0.000001,0,SIGN(H26)),0)</f>
        <v>1</v>
      </c>
      <c r="I56" s="1">
        <f>IF(I$4&lt;=核心参数输入!$B$9,IF(ABS(I26)&lt;=0.000001,0,SIGN(I26)),0)</f>
        <v>1</v>
      </c>
      <c r="J56" s="1">
        <f>IF(J$4&lt;=核心参数输入!$B$9,IF(ABS(J26)&lt;=0.000001,0,SIGN(J26)),0)</f>
        <v>1</v>
      </c>
      <c r="K56" s="1">
        <f>IF(K$4&lt;=核心参数输入!$B$9,IF(ABS(K26)&lt;=0.000001,0,SIGN(K26)),0)</f>
        <v>1</v>
      </c>
      <c r="L56" s="1">
        <f>IF(L$4&lt;=核心参数输入!$B$9,IF(ABS(L26)&lt;=0.000001,0,SIGN(L26)),0)</f>
        <v>1</v>
      </c>
      <c r="M56" s="1">
        <f>IF(M$4&lt;=核心参数输入!$B$9,IF(ABS(M26)&lt;=0.000001,0,SIGN(M26)),0)</f>
        <v>1</v>
      </c>
      <c r="N56" s="1">
        <f>IF(N$4&lt;=核心参数输入!$B$9,IF(ABS(N26)&lt;=0.000001,0,SIGN(N26)),0)</f>
        <v>1</v>
      </c>
      <c r="O56" s="1">
        <f>IF(O$4&lt;=核心参数输入!$B$9,IF(ABS(O26)&lt;=0.000001,0,SIGN(O26)),0)</f>
        <v>1</v>
      </c>
      <c r="P56" s="1">
        <f>IF(P$4&lt;=核心参数输入!$B$9,IF(ABS(P26)&lt;=0.000001,0,SIGN(P26)),0)</f>
        <v>1</v>
      </c>
      <c r="Q56" s="1">
        <f>IF(Q$4&lt;=核心参数输入!$B$9,IF(ABS(Q26)&lt;=0.000001,0,SIGN(Q26)),0)</f>
        <v>1</v>
      </c>
      <c r="R56" s="1">
        <f>IF(R$4&lt;=核心参数输入!$B$9,IF(ABS(R26)&lt;=0.000001,0,SIGN(R26)),0)</f>
        <v>1</v>
      </c>
      <c r="S56" s="1">
        <f>IF(S$4&lt;=核心参数输入!$B$9,IF(ABS(S26)&lt;=0.000001,0,SIGN(S26)),0)</f>
        <v>1</v>
      </c>
      <c r="T56" s="1">
        <f>IF(T$4&lt;=核心参数输入!$B$9,IF(ABS(T26)&lt;=0.000001,0,SIGN(T26)),0)</f>
        <v>1</v>
      </c>
      <c r="U56" s="1">
        <f>IF(U$4&lt;=核心参数输入!$B$9,IF(ABS(U26)&lt;=0.000001,0,SIGN(U26)),0)</f>
        <v>1</v>
      </c>
      <c r="V56" s="1">
        <f>IF(V$4&lt;=核心参数输入!$B$9,IF(ABS(V26)&lt;=0.000001,0,SIGN(V26)),0)</f>
        <v>1</v>
      </c>
      <c r="W56" s="1">
        <f>IF(W$4&lt;=核心参数输入!$B$9,IF(ABS(W26)&lt;=0.000001,0,SIGN(W26)),0)</f>
        <v>1</v>
      </c>
      <c r="X56" s="1">
        <f>IF(X$4&lt;=核心参数输入!$B$9,IF(ABS(X26)&lt;=0.000001,0,SIGN(X26)),0)</f>
        <v>1</v>
      </c>
      <c r="Y56" s="1">
        <f>IF(Y$4&lt;=核心参数输入!$B$9,IF(ABS(Y26)&lt;=0.000001,0,SIGN(Y26)),0)</f>
        <v>0</v>
      </c>
      <c r="Z56" s="1">
        <f>IF(Z$4&lt;=核心参数输入!$B$9,IF(ABS(Z26)&lt;=0.000001,0,SIGN(Z26)),0)</f>
        <v>0</v>
      </c>
      <c r="AA56" s="1">
        <f>IF(AA$4&lt;=核心参数输入!$B$9,IF(ABS(AA26)&lt;=0.000001,0,SIGN(AA26)),0)</f>
        <v>0</v>
      </c>
      <c r="AB56" s="1">
        <f>IF(AB$4&lt;=核心参数输入!$B$9,IF(ABS(AB26)&lt;=0.000001,0,SIGN(AB26)),0)</f>
        <v>0</v>
      </c>
      <c r="AC56" s="1">
        <f>IF(AC$4&lt;=核心参数输入!$B$9,IF(ABS(AC26)&lt;=0.000001,0,SIGN(AC26)),0)</f>
        <v>0</v>
      </c>
      <c r="AD56" s="1">
        <f>IF(AD$4&lt;=核心参数输入!$B$9,IF(ABS(AD26)&lt;=0.000001,0,SIGN(AD26)),0)</f>
        <v>0</v>
      </c>
      <c r="AE56" s="1">
        <f>IF(AE$4&lt;=核心参数输入!$B$9,IF(ABS(AE26)&lt;=0.000001,0,SIGN(AE26)),0)</f>
        <v>0</v>
      </c>
      <c r="AF56" s="1">
        <f>IF(AF$4&lt;=核心参数输入!$B$9,IF(ABS(AF26)&lt;=0.000001,0,SIGN(AF26)),0)</f>
        <v>0</v>
      </c>
      <c r="AG56" s="1">
        <f>IF(AG$4&lt;=核心参数输入!$B$9,IF(ABS(AG26)&lt;=0.000001,0,SIGN(AG26)),0)</f>
        <v>0</v>
      </c>
      <c r="AH56" s="1">
        <f>IF(AH$4&lt;=核心参数输入!$B$9,IF(ABS(AH26)&lt;=0.000001,0,SIGN(AH26)),0)</f>
        <v>0</v>
      </c>
    </row>
    <row r="57" spans="1:34" ht="21" customHeight="1">
      <c r="A57" s="11" t="s">
        <v>303</v>
      </c>
      <c r="B57" s="11" t="s">
        <v>300</v>
      </c>
      <c r="D57" s="1">
        <f>IF(D$4&lt;=核心参数输入!$B$9,IF(D56=0,0,D56),0)</f>
        <v>-1</v>
      </c>
      <c r="E57" s="1">
        <f>IF(E$4&lt;=核心参数输入!$B$9,IF(E56=0,D57,E56),0)</f>
        <v>-1</v>
      </c>
      <c r="F57" s="1">
        <f>IF(F$4&lt;=核心参数输入!$B$9,IF(F56=0,E57,F56),0)</f>
        <v>-1</v>
      </c>
      <c r="G57" s="1">
        <f>IF(G$4&lt;=核心参数输入!$B$9,IF(G56=0,F57,G56),0)</f>
        <v>-1</v>
      </c>
      <c r="H57" s="1">
        <f>IF(H$4&lt;=核心参数输入!$B$9,IF(H56=0,G57,H56),0)</f>
        <v>1</v>
      </c>
      <c r="I57" s="1">
        <f>IF(I$4&lt;=核心参数输入!$B$9,IF(I56=0,H57,I56),0)</f>
        <v>1</v>
      </c>
      <c r="J57" s="1">
        <f>IF(J$4&lt;=核心参数输入!$B$9,IF(J56=0,I57,J56),0)</f>
        <v>1</v>
      </c>
      <c r="K57" s="1">
        <f>IF(K$4&lt;=核心参数输入!$B$9,IF(K56=0,J57,K56),0)</f>
        <v>1</v>
      </c>
      <c r="L57" s="1">
        <f>IF(L$4&lt;=核心参数输入!$B$9,IF(L56=0,K57,L56),0)</f>
        <v>1</v>
      </c>
      <c r="M57" s="1">
        <f>IF(M$4&lt;=核心参数输入!$B$9,IF(M56=0,L57,M56),0)</f>
        <v>1</v>
      </c>
      <c r="N57" s="1">
        <f>IF(N$4&lt;=核心参数输入!$B$9,IF(N56=0,M57,N56),0)</f>
        <v>1</v>
      </c>
      <c r="O57" s="1">
        <f>IF(O$4&lt;=核心参数输入!$B$9,IF(O56=0,N57,O56),0)</f>
        <v>1</v>
      </c>
      <c r="P57" s="1">
        <f>IF(P$4&lt;=核心参数输入!$B$9,IF(P56=0,O57,P56),0)</f>
        <v>1</v>
      </c>
      <c r="Q57" s="1">
        <f>IF(Q$4&lt;=核心参数输入!$B$9,IF(Q56=0,P57,Q56),0)</f>
        <v>1</v>
      </c>
      <c r="R57" s="1">
        <f>IF(R$4&lt;=核心参数输入!$B$9,IF(R56=0,Q57,R56),0)</f>
        <v>1</v>
      </c>
      <c r="S57" s="1">
        <f>IF(S$4&lt;=核心参数输入!$B$9,IF(S56=0,R57,S56),0)</f>
        <v>1</v>
      </c>
      <c r="T57" s="1">
        <f>IF(T$4&lt;=核心参数输入!$B$9,IF(T56=0,S57,T56),0)</f>
        <v>1</v>
      </c>
      <c r="U57" s="1">
        <f>IF(U$4&lt;=核心参数输入!$B$9,IF(U56=0,T57,U56),0)</f>
        <v>1</v>
      </c>
      <c r="V57" s="1">
        <f>IF(V$4&lt;=核心参数输入!$B$9,IF(V56=0,U57,V56),0)</f>
        <v>1</v>
      </c>
      <c r="W57" s="1">
        <f>IF(W$4&lt;=核心参数输入!$B$9,IF(W56=0,V57,W56),0)</f>
        <v>1</v>
      </c>
      <c r="X57" s="1">
        <f>IF(X$4&lt;=核心参数输入!$B$9,IF(X56=0,W57,X56),0)</f>
        <v>1</v>
      </c>
      <c r="Y57" s="1">
        <f>IF(Y$4&lt;=核心参数输入!$B$9,IF(Y56=0,X57,Y56),0)</f>
        <v>0</v>
      </c>
      <c r="Z57" s="1">
        <f>IF(Z$4&lt;=核心参数输入!$B$9,IF(Z56=0,Y57,Z56),0)</f>
        <v>0</v>
      </c>
      <c r="AA57" s="1">
        <f>IF(AA$4&lt;=核心参数输入!$B$9,IF(AA56=0,Z57,AA56),0)</f>
        <v>0</v>
      </c>
      <c r="AB57" s="1">
        <f>IF(AB$4&lt;=核心参数输入!$B$9,IF(AB56=0,AA57,AB56),0)</f>
        <v>0</v>
      </c>
      <c r="AC57" s="1">
        <f>IF(AC$4&lt;=核心参数输入!$B$9,IF(AC56=0,AB57,AC56),0)</f>
        <v>0</v>
      </c>
      <c r="AD57" s="1">
        <f>IF(AD$4&lt;=核心参数输入!$B$9,IF(AD56=0,AC57,AD56),0)</f>
        <v>0</v>
      </c>
      <c r="AE57" s="1">
        <f>IF(AE$4&lt;=核心参数输入!$B$9,IF(AE56=0,AD57,AE56),0)</f>
        <v>0</v>
      </c>
      <c r="AF57" s="1">
        <f>IF(AF$4&lt;=核心参数输入!$B$9,IF(AF56=0,AE57,AF56),0)</f>
        <v>0</v>
      </c>
      <c r="AG57" s="1">
        <f>IF(AG$4&lt;=核心参数输入!$B$9,IF(AG56=0,AF57,AG56),0)</f>
        <v>0</v>
      </c>
      <c r="AH57" s="1">
        <f>IF(AH$4&lt;=核心参数输入!$B$9,IF(AH56=0,AG57,AH56),0)</f>
        <v>0</v>
      </c>
    </row>
    <row r="58" spans="1:34" ht="21" customHeight="1">
      <c r="A58" s="11" t="s">
        <v>304</v>
      </c>
      <c r="B58" s="11" t="s">
        <v>300</v>
      </c>
      <c r="D58" s="1">
        <f>IF(D$4&lt;=核心参数输入!$B$9,IF(AND(D56&lt;&gt;0,0&lt;&gt;0,D56&lt;&gt;0),1,0),0)</f>
        <v>0</v>
      </c>
      <c r="E58" s="1">
        <f>IF(E$4&lt;=核心参数输入!$B$9,IF(AND(E56&lt;&gt;0,D57&lt;&gt;0,E56&lt;&gt;D57),1,0),0)</f>
        <v>0</v>
      </c>
      <c r="F58" s="1">
        <f>IF(F$4&lt;=核心参数输入!$B$9,IF(AND(F56&lt;&gt;0,E57&lt;&gt;0,F56&lt;&gt;E57),1,0),0)</f>
        <v>0</v>
      </c>
      <c r="G58" s="1">
        <f>IF(G$4&lt;=核心参数输入!$B$9,IF(AND(G56&lt;&gt;0,F57&lt;&gt;0,G56&lt;&gt;F57),1,0),0)</f>
        <v>0</v>
      </c>
      <c r="H58" s="1">
        <f>IF(H$4&lt;=核心参数输入!$B$9,IF(AND(H56&lt;&gt;0,G57&lt;&gt;0,H56&lt;&gt;G57),1,0),0)</f>
        <v>1</v>
      </c>
      <c r="I58" s="1">
        <f>IF(I$4&lt;=核心参数输入!$B$9,IF(AND(I56&lt;&gt;0,H57&lt;&gt;0,I56&lt;&gt;H57),1,0),0)</f>
        <v>0</v>
      </c>
      <c r="J58" s="1">
        <f>IF(J$4&lt;=核心参数输入!$B$9,IF(AND(J56&lt;&gt;0,I57&lt;&gt;0,J56&lt;&gt;I57),1,0),0)</f>
        <v>0</v>
      </c>
      <c r="K58" s="1">
        <f>IF(K$4&lt;=核心参数输入!$B$9,IF(AND(K56&lt;&gt;0,J57&lt;&gt;0,K56&lt;&gt;J57),1,0),0)</f>
        <v>0</v>
      </c>
      <c r="L58" s="1">
        <f>IF(L$4&lt;=核心参数输入!$B$9,IF(AND(L56&lt;&gt;0,K57&lt;&gt;0,L56&lt;&gt;K57),1,0),0)</f>
        <v>0</v>
      </c>
      <c r="M58" s="1">
        <f>IF(M$4&lt;=核心参数输入!$B$9,IF(AND(M56&lt;&gt;0,L57&lt;&gt;0,M56&lt;&gt;L57),1,0),0)</f>
        <v>0</v>
      </c>
      <c r="N58" s="1">
        <f>IF(N$4&lt;=核心参数输入!$B$9,IF(AND(N56&lt;&gt;0,M57&lt;&gt;0,N56&lt;&gt;M57),1,0),0)</f>
        <v>0</v>
      </c>
      <c r="O58" s="1">
        <f>IF(O$4&lt;=核心参数输入!$B$9,IF(AND(O56&lt;&gt;0,N57&lt;&gt;0,O56&lt;&gt;N57),1,0),0)</f>
        <v>0</v>
      </c>
      <c r="P58" s="1">
        <f>IF(P$4&lt;=核心参数输入!$B$9,IF(AND(P56&lt;&gt;0,O57&lt;&gt;0,P56&lt;&gt;O57),1,0),0)</f>
        <v>0</v>
      </c>
      <c r="Q58" s="1">
        <f>IF(Q$4&lt;=核心参数输入!$B$9,IF(AND(Q56&lt;&gt;0,P57&lt;&gt;0,Q56&lt;&gt;P57),1,0),0)</f>
        <v>0</v>
      </c>
      <c r="R58" s="1">
        <f>IF(R$4&lt;=核心参数输入!$B$9,IF(AND(R56&lt;&gt;0,Q57&lt;&gt;0,R56&lt;&gt;Q57),1,0),0)</f>
        <v>0</v>
      </c>
      <c r="S58" s="1">
        <f>IF(S$4&lt;=核心参数输入!$B$9,IF(AND(S56&lt;&gt;0,R57&lt;&gt;0,S56&lt;&gt;R57),1,0),0)</f>
        <v>0</v>
      </c>
      <c r="T58" s="1">
        <f>IF(T$4&lt;=核心参数输入!$B$9,IF(AND(T56&lt;&gt;0,S57&lt;&gt;0,T56&lt;&gt;S57),1,0),0)</f>
        <v>0</v>
      </c>
      <c r="U58" s="1">
        <f>IF(U$4&lt;=核心参数输入!$B$9,IF(AND(U56&lt;&gt;0,T57&lt;&gt;0,U56&lt;&gt;T57),1,0),0)</f>
        <v>0</v>
      </c>
      <c r="V58" s="1">
        <f>IF(V$4&lt;=核心参数输入!$B$9,IF(AND(V56&lt;&gt;0,U57&lt;&gt;0,V56&lt;&gt;U57),1,0),0)</f>
        <v>0</v>
      </c>
      <c r="W58" s="1">
        <f>IF(W$4&lt;=核心参数输入!$B$9,IF(AND(W56&lt;&gt;0,V57&lt;&gt;0,W56&lt;&gt;V57),1,0),0)</f>
        <v>0</v>
      </c>
      <c r="X58" s="1">
        <f>IF(X$4&lt;=核心参数输入!$B$9,IF(AND(X56&lt;&gt;0,W57&lt;&gt;0,X56&lt;&gt;W57),1,0),0)</f>
        <v>0</v>
      </c>
      <c r="Y58" s="1">
        <f>IF(Y$4&lt;=核心参数输入!$B$9,IF(AND(Y56&lt;&gt;0,X57&lt;&gt;0,Y56&lt;&gt;X57),1,0),0)</f>
        <v>0</v>
      </c>
      <c r="Z58" s="1">
        <f>IF(Z$4&lt;=核心参数输入!$B$9,IF(AND(Z56&lt;&gt;0,Y57&lt;&gt;0,Z56&lt;&gt;Y57),1,0),0)</f>
        <v>0</v>
      </c>
      <c r="AA58" s="1">
        <f>IF(AA$4&lt;=核心参数输入!$B$9,IF(AND(AA56&lt;&gt;0,Z57&lt;&gt;0,AA56&lt;&gt;Z57),1,0),0)</f>
        <v>0</v>
      </c>
      <c r="AB58" s="1">
        <f>IF(AB$4&lt;=核心参数输入!$B$9,IF(AND(AB56&lt;&gt;0,AA57&lt;&gt;0,AB56&lt;&gt;AA57),1,0),0)</f>
        <v>0</v>
      </c>
      <c r="AC58" s="1">
        <f>IF(AC$4&lt;=核心参数输入!$B$9,IF(AND(AC56&lt;&gt;0,AB57&lt;&gt;0,AC56&lt;&gt;AB57),1,0),0)</f>
        <v>0</v>
      </c>
      <c r="AD58" s="1">
        <f>IF(AD$4&lt;=核心参数输入!$B$9,IF(AND(AD56&lt;&gt;0,AC57&lt;&gt;0,AD56&lt;&gt;AC57),1,0),0)</f>
        <v>0</v>
      </c>
      <c r="AE58" s="1">
        <f>IF(AE$4&lt;=核心参数输入!$B$9,IF(AND(AE56&lt;&gt;0,AD57&lt;&gt;0,AE56&lt;&gt;AD57),1,0),0)</f>
        <v>0</v>
      </c>
      <c r="AF58" s="1">
        <f>IF(AF$4&lt;=核心参数输入!$B$9,IF(AND(AF56&lt;&gt;0,AE57&lt;&gt;0,AF56&lt;&gt;AE57),1,0),0)</f>
        <v>0</v>
      </c>
      <c r="AG58" s="1">
        <f>IF(AG$4&lt;=核心参数输入!$B$9,IF(AND(AG56&lt;&gt;0,AF57&lt;&gt;0,AG56&lt;&gt;AF57),1,0),0)</f>
        <v>0</v>
      </c>
      <c r="AH58" s="1">
        <f>IF(AH$4&lt;=核心参数输入!$B$9,IF(AND(AH56&lt;&gt;0,AG57&lt;&gt;0,AH56&lt;&gt;AG57),1,0),0)</f>
        <v>0</v>
      </c>
    </row>
    <row r="59" spans="1:34" ht="21" customHeight="1">
      <c r="A59" s="11" t="s">
        <v>305</v>
      </c>
      <c r="B59" s="11" t="s">
        <v>54</v>
      </c>
      <c r="D59" s="1">
        <f>IF(D$4&lt;=核心参数输入!$B$9,D33+D31+D34-D35-D36,0)</f>
        <v>0</v>
      </c>
      <c r="E59" s="1">
        <f>IF(E$4&lt;=核心参数输入!$B$9,E33+E31+E34-E35-E36,0)</f>
        <v>0</v>
      </c>
      <c r="F59" s="1">
        <f>IF(F$4&lt;=核心参数输入!$B$9,F33+F31+F34-F35-F36,0)</f>
        <v>0</v>
      </c>
      <c r="G59" s="1">
        <f>IF(G$4&lt;=核心参数输入!$B$9,G33+G31+G34-G35-G36,0)</f>
        <v>0</v>
      </c>
      <c r="H59" s="1">
        <f>IF(H$4&lt;=核心参数输入!$B$9,H33+H31+H34-H35-H36,0)</f>
        <v>0</v>
      </c>
      <c r="I59" s="1">
        <f>IF(I$4&lt;=核心参数输入!$B$9,I33+I31+I34-I35-I36,0)</f>
        <v>0</v>
      </c>
      <c r="J59" s="1">
        <f>IF(J$4&lt;=核心参数输入!$B$9,J33+J31+J34-J35-J36,0)</f>
        <v>0</v>
      </c>
      <c r="K59" s="1">
        <f>IF(K$4&lt;=核心参数输入!$B$9,K33+K31+K34-K35-K36,0)</f>
        <v>0</v>
      </c>
      <c r="L59" s="1">
        <f>IF(L$4&lt;=核心参数输入!$B$9,L33+L31+L34-L35-L36,0)</f>
        <v>0</v>
      </c>
      <c r="M59" s="1">
        <f>IF(M$4&lt;=核心参数输入!$B$9,M33+M31+M34-M35-M36,0)</f>
        <v>0</v>
      </c>
      <c r="N59" s="1">
        <f>IF(N$4&lt;=核心参数输入!$B$9,N33+N31+N34-N35-N36,0)</f>
        <v>0</v>
      </c>
      <c r="O59" s="1">
        <f>IF(O$4&lt;=核心参数输入!$B$9,O33+O31+O34-O35-O36,0)</f>
        <v>0</v>
      </c>
      <c r="P59" s="1">
        <f>IF(P$4&lt;=核心参数输入!$B$9,P33+P31+P34-P35-P36,0)</f>
        <v>0</v>
      </c>
      <c r="Q59" s="1">
        <f>IF(Q$4&lt;=核心参数输入!$B$9,Q33+Q31+Q34-Q35-Q36,0)</f>
        <v>0</v>
      </c>
      <c r="R59" s="1">
        <f>IF(R$4&lt;=核心参数输入!$B$9,R33+R31+R34-R35-R36,0)</f>
        <v>0</v>
      </c>
      <c r="S59" s="1">
        <f>IF(S$4&lt;=核心参数输入!$B$9,S33+S31+S34-S35-S36,0)</f>
        <v>0</v>
      </c>
      <c r="T59" s="1">
        <f>IF(T$4&lt;=核心参数输入!$B$9,T33+T31+T34-T35-T36,0)</f>
        <v>0</v>
      </c>
      <c r="U59" s="1">
        <f>IF(U$4&lt;=核心参数输入!$B$9,U33+U31+U34-U35-U36,0)</f>
        <v>0</v>
      </c>
      <c r="V59" s="1">
        <f>IF(V$4&lt;=核心参数输入!$B$9,V33+V31+V34-V35-V36,0)</f>
        <v>0</v>
      </c>
      <c r="W59" s="1">
        <f>IF(W$4&lt;=核心参数输入!$B$9,W33+W31+W34-W35-W36,0)</f>
        <v>0</v>
      </c>
      <c r="X59" s="1">
        <f>IF(X$4&lt;=核心参数输入!$B$9,X33+X31+X34-X35-X36,0)</f>
        <v>0</v>
      </c>
      <c r="Y59" s="1">
        <f>IF(Y$4&lt;=核心参数输入!$B$9,Y33+Y31+Y34-Y35-Y36,0)</f>
        <v>0</v>
      </c>
      <c r="Z59" s="1">
        <f>IF(Z$4&lt;=核心参数输入!$B$9,Z33+Z31+Z34-Z35-Z36,0)</f>
        <v>0</v>
      </c>
      <c r="AA59" s="1">
        <f>IF(AA$4&lt;=核心参数输入!$B$9,AA33+AA31+AA34-AA35-AA36,0)</f>
        <v>0</v>
      </c>
      <c r="AB59" s="1">
        <f>IF(AB$4&lt;=核心参数输入!$B$9,AB33+AB31+AB34-AB35-AB36,0)</f>
        <v>0</v>
      </c>
      <c r="AC59" s="1">
        <f>IF(AC$4&lt;=核心参数输入!$B$9,AC33+AC31+AC34-AC35-AC36,0)</f>
        <v>0</v>
      </c>
      <c r="AD59" s="1">
        <f>IF(AD$4&lt;=核心参数输入!$B$9,AD33+AD31+AD34-AD35-AD36,0)</f>
        <v>0</v>
      </c>
      <c r="AE59" s="1">
        <f>IF(AE$4&lt;=核心参数输入!$B$9,AE33+AE31+AE34-AE35-AE36,0)</f>
        <v>0</v>
      </c>
      <c r="AF59" s="1">
        <f>IF(AF$4&lt;=核心参数输入!$B$9,AF33+AF31+AF34-AF35-AF36,0)</f>
        <v>0</v>
      </c>
      <c r="AG59" s="1">
        <f>IF(AG$4&lt;=核心参数输入!$B$9,AG33+AG31+AG34-AG35-AG36,0)</f>
        <v>0</v>
      </c>
      <c r="AH59" s="1">
        <f>IF(AH$4&lt;=核心参数输入!$B$9,AH33+AH31+AH34-AH35-AH36,0)</f>
        <v>0</v>
      </c>
    </row>
    <row r="60" spans="1:34" ht="21" customHeight="1">
      <c r="A60" s="11" t="s">
        <v>306</v>
      </c>
      <c r="B60" s="11" t="s">
        <v>54</v>
      </c>
      <c r="D60" s="1">
        <f>IF(D$4&lt;=核心参数输入!$B$9,D39-D40+D31+D42-D43-D44+D45,0)</f>
        <v>0</v>
      </c>
      <c r="E60" s="1">
        <f>IF(E$4&lt;=核心参数输入!$B$9,E39-E40+E31+E42-E43-E44+E45,0)</f>
        <v>0</v>
      </c>
      <c r="F60" s="1">
        <f>IF(F$4&lt;=核心参数输入!$B$9,F39-F40+F31+F42-F43-F44+F45,0)</f>
        <v>0</v>
      </c>
      <c r="G60" s="1">
        <f>IF(G$4&lt;=核心参数输入!$B$9,G39-G40+G31+G42-G43-G44+G45,0)</f>
        <v>0</v>
      </c>
      <c r="H60" s="1">
        <f>IF(H$4&lt;=核心参数输入!$B$9,H39-H40+H31+H42-H43-H44+H45,0)</f>
        <v>0</v>
      </c>
      <c r="I60" s="1">
        <f>IF(I$4&lt;=核心参数输入!$B$9,I39-I40+I31+I42-I43-I44+I45,0)</f>
        <v>0</v>
      </c>
      <c r="J60" s="1">
        <f>IF(J$4&lt;=核心参数输入!$B$9,J39-J40+J31+J42-J43-J44+J45,0)</f>
        <v>0</v>
      </c>
      <c r="K60" s="1">
        <f>IF(K$4&lt;=核心参数输入!$B$9,K39-K40+K31+K42-K43-K44+K45,0)</f>
        <v>0</v>
      </c>
      <c r="L60" s="1">
        <f>IF(L$4&lt;=核心参数输入!$B$9,L39-L40+L31+L42-L43-L44+L45,0)</f>
        <v>0</v>
      </c>
      <c r="M60" s="1">
        <f>IF(M$4&lt;=核心参数输入!$B$9,M39-M40+M31+M42-M43-M44+M45,0)</f>
        <v>0</v>
      </c>
      <c r="N60" s="1">
        <f>IF(N$4&lt;=核心参数输入!$B$9,N39-N40+N31+N42-N43-N44+N45,0)</f>
        <v>0</v>
      </c>
      <c r="O60" s="1">
        <f>IF(O$4&lt;=核心参数输入!$B$9,O39-O40+O31+O42-O43-O44+O45,0)</f>
        <v>0</v>
      </c>
      <c r="P60" s="1">
        <f>IF(P$4&lt;=核心参数输入!$B$9,P39-P40+P31+P42-P43-P44+P45,0)</f>
        <v>0</v>
      </c>
      <c r="Q60" s="1">
        <f>IF(Q$4&lt;=核心参数输入!$B$9,Q39-Q40+Q31+Q42-Q43-Q44+Q45,0)</f>
        <v>0</v>
      </c>
      <c r="R60" s="1">
        <f>IF(R$4&lt;=核心参数输入!$B$9,R39-R40+R31+R42-R43-R44+R45,0)</f>
        <v>0</v>
      </c>
      <c r="S60" s="1">
        <f>IF(S$4&lt;=核心参数输入!$B$9,S39-S40+S31+S42-S43-S44+S45,0)</f>
        <v>0</v>
      </c>
      <c r="T60" s="1">
        <f>IF(T$4&lt;=核心参数输入!$B$9,T39-T40+T31+T42-T43-T44+T45,0)</f>
        <v>0</v>
      </c>
      <c r="U60" s="1">
        <f>IF(U$4&lt;=核心参数输入!$B$9,U39-U40+U31+U42-U43-U44+U45,0)</f>
        <v>0</v>
      </c>
      <c r="V60" s="1">
        <f>IF(V$4&lt;=核心参数输入!$B$9,V39-V40+V31+V42-V43-V44+V45,0)</f>
        <v>0</v>
      </c>
      <c r="W60" s="1">
        <f>IF(W$4&lt;=核心参数输入!$B$9,W39-W40+W31+W42-W43-W44+W45,0)</f>
        <v>0</v>
      </c>
      <c r="X60" s="1">
        <f>IF(X$4&lt;=核心参数输入!$B$9,X39-X40+X31+X42-X43-X44+X45,0)</f>
        <v>0</v>
      </c>
      <c r="Y60" s="1">
        <f>IF(Y$4&lt;=核心参数输入!$B$9,Y39-Y40+Y31+Y42-Y43-Y44+Y45,0)</f>
        <v>0</v>
      </c>
      <c r="Z60" s="1">
        <f>IF(Z$4&lt;=核心参数输入!$B$9,Z39-Z40+Z31+Z42-Z43-Z44+Z45,0)</f>
        <v>0</v>
      </c>
      <c r="AA60" s="1">
        <f>IF(AA$4&lt;=核心参数输入!$B$9,AA39-AA40+AA31+AA42-AA43-AA44+AA45,0)</f>
        <v>0</v>
      </c>
      <c r="AB60" s="1">
        <f>IF(AB$4&lt;=核心参数输入!$B$9,AB39-AB40+AB31+AB42-AB43-AB44+AB45,0)</f>
        <v>0</v>
      </c>
      <c r="AC60" s="1">
        <f>IF(AC$4&lt;=核心参数输入!$B$9,AC39-AC40+AC31+AC42-AC43-AC44+AC45,0)</f>
        <v>0</v>
      </c>
      <c r="AD60" s="1">
        <f>IF(AD$4&lt;=核心参数输入!$B$9,AD39-AD40+AD31+AD42-AD43-AD44+AD45,0)</f>
        <v>0</v>
      </c>
      <c r="AE60" s="1">
        <f>IF(AE$4&lt;=核心参数输入!$B$9,AE39-AE40+AE31+AE42-AE43-AE44+AE45,0)</f>
        <v>0</v>
      </c>
      <c r="AF60" s="1">
        <f>IF(AF$4&lt;=核心参数输入!$B$9,AF39-AF40+AF31+AF42-AF43-AF44+AF45,0)</f>
        <v>0</v>
      </c>
      <c r="AG60" s="1">
        <f>IF(AG$4&lt;=核心参数输入!$B$9,AG39-AG40+AG31+AG42-AG43-AG44+AG45,0)</f>
        <v>0</v>
      </c>
      <c r="AH60" s="1">
        <f>IF(AH$4&lt;=核心参数输入!$B$9,AH39-AH40+AH31+AH42-AH43-AH44+AH45,0)</f>
        <v>0</v>
      </c>
    </row>
    <row r="61" spans="1:34" ht="21" customHeight="1">
      <c r="A61" s="11" t="s">
        <v>307</v>
      </c>
      <c r="B61" s="11" t="s">
        <v>54</v>
      </c>
      <c r="D61" s="1">
        <f>IF(D$4&lt;=核心参数输入!$B$9,IF(D35&gt;0.01,SUM(E34:$AH34),0),0)</f>
        <v>0</v>
      </c>
      <c r="E61" s="1">
        <f>IF(E$4&lt;=核心参数输入!$B$9,IF(E35&gt;0.01,SUM(F34:$AH34),0),0)</f>
        <v>0</v>
      </c>
      <c r="F61" s="1">
        <f>IF(F$4&lt;=核心参数输入!$B$9,IF(F35&gt;0.01,SUM(G34:$AH34),0),0)</f>
        <v>0</v>
      </c>
      <c r="G61" s="1">
        <f>IF(G$4&lt;=核心参数输入!$B$9,IF(G35&gt;0.01,SUM(H34:$AH34),0),0)</f>
        <v>0</v>
      </c>
      <c r="H61" s="1">
        <f>IF(H$4&lt;=核心参数输入!$B$9,IF(H35&gt;0.01,SUM(I34:$AH34),0),0)</f>
        <v>9.0949470177292824E-13</v>
      </c>
      <c r="I61" s="1">
        <f>IF(I$4&lt;=核心参数输入!$B$9,IF(I35&gt;0.01,SUM(J34:$AH34),0),0)</f>
        <v>9.0949470177292824E-13</v>
      </c>
      <c r="J61" s="1">
        <f>IF(J$4&lt;=核心参数输入!$B$9,IF(J35&gt;0.01,SUM(K34:$AH34),0),0)</f>
        <v>0</v>
      </c>
      <c r="K61" s="1">
        <f>IF(K$4&lt;=核心参数输入!$B$9,IF(K35&gt;0.01,SUM(L34:$AH34),0),0)</f>
        <v>0</v>
      </c>
      <c r="L61" s="1">
        <f>IF(L$4&lt;=核心参数输入!$B$9,IF(L35&gt;0.01,SUM(M34:$AH34),0),0)</f>
        <v>0</v>
      </c>
      <c r="M61" s="1">
        <f>IF(M$4&lt;=核心参数输入!$B$9,IF(M35&gt;0.01,SUM(N34:$AH34),0),0)</f>
        <v>0</v>
      </c>
      <c r="N61" s="1">
        <f>IF(N$4&lt;=核心参数输入!$B$9,IF(N35&gt;0.01,SUM(O34:$AH34),0),0)</f>
        <v>0</v>
      </c>
      <c r="O61" s="1">
        <f>IF(O$4&lt;=核心参数输入!$B$9,IF(O35&gt;0.01,SUM(P34:$AH34),0),0)</f>
        <v>0</v>
      </c>
      <c r="P61" s="1">
        <f>IF(P$4&lt;=核心参数输入!$B$9,IF(P35&gt;0.01,SUM(Q34:$AH34),0),0)</f>
        <v>0</v>
      </c>
      <c r="Q61" s="1">
        <f>IF(Q$4&lt;=核心参数输入!$B$9,IF(Q35&gt;0.01,SUM(R34:$AH34),0),0)</f>
        <v>0</v>
      </c>
      <c r="R61" s="1">
        <f>IF(R$4&lt;=核心参数输入!$B$9,IF(R35&gt;0.01,SUM(S34:$AH34),0),0)</f>
        <v>0</v>
      </c>
      <c r="S61" s="1">
        <f>IF(S$4&lt;=核心参数输入!$B$9,IF(S35&gt;0.01,SUM(T34:$AH34),0),0)</f>
        <v>0</v>
      </c>
      <c r="T61" s="1">
        <f>IF(T$4&lt;=核心参数输入!$B$9,IF(T35&gt;0.01,SUM(U34:$AH34),0),0)</f>
        <v>0</v>
      </c>
      <c r="U61" s="1">
        <f>IF(U$4&lt;=核心参数输入!$B$9,IF(U35&gt;0.01,SUM(V34:$AH34),0),0)</f>
        <v>0</v>
      </c>
      <c r="V61" s="1">
        <f>IF(V$4&lt;=核心参数输入!$B$9,IF(V35&gt;0.01,SUM(W34:$AH34),0),0)</f>
        <v>0</v>
      </c>
      <c r="W61" s="1">
        <f>IF(W$4&lt;=核心参数输入!$B$9,IF(W35&gt;0.01,SUM(X34:$AH34),0),0)</f>
        <v>0</v>
      </c>
      <c r="X61" s="1">
        <f>IF(X$4&lt;=核心参数输入!$B$9,IF(X35&gt;0.01,SUM(Y34:$AH34),0),0)</f>
        <v>0</v>
      </c>
      <c r="Y61" s="1">
        <f>IF(Y$4&lt;=核心参数输入!$B$9,IF(Y35&gt;0.01,SUM(Z34:$AH34),0),0)</f>
        <v>0</v>
      </c>
      <c r="Z61" s="1">
        <f>IF(Z$4&lt;=核心参数输入!$B$9,IF(Z35&gt;0.01,SUM(AA34:$AH34),0),0)</f>
        <v>0</v>
      </c>
      <c r="AA61" s="1">
        <f>IF(AA$4&lt;=核心参数输入!$B$9,IF(AA35&gt;0.01,SUM(AB34:$AH34),0),0)</f>
        <v>0</v>
      </c>
      <c r="AB61" s="1">
        <f>IF(AB$4&lt;=核心参数输入!$B$9,IF(AB35&gt;0.01,SUM(AC34:$AH34),0),0)</f>
        <v>0</v>
      </c>
      <c r="AC61" s="1">
        <f>IF(AC$4&lt;=核心参数输入!$B$9,IF(AC35&gt;0.01,SUM(AD34:$AH34),0),0)</f>
        <v>0</v>
      </c>
      <c r="AD61" s="1">
        <f>IF(AD$4&lt;=核心参数输入!$B$9,IF(AD35&gt;0.01,SUM(AE34:$AH34),0),0)</f>
        <v>0</v>
      </c>
      <c r="AE61" s="1">
        <f>IF(AE$4&lt;=核心参数输入!$B$9,IF(AE35&gt;0.01,SUM(AF34:$AH34),0),0)</f>
        <v>0</v>
      </c>
      <c r="AF61" s="1">
        <f>IF(AF$4&lt;=核心参数输入!$B$9,IF(AF35&gt;0.01,SUM(AG34:$AH34),0),0)</f>
        <v>0</v>
      </c>
      <c r="AG61" s="1">
        <f>IF(AG$4&lt;=核心参数输入!$B$9,IF(AG35&gt;0.01,SUM(AH34:$AH34),0),0)</f>
        <v>0</v>
      </c>
      <c r="AH61" s="1">
        <f>IF(AH$4&lt;=核心参数输入!$B$9,0,0)</f>
        <v>0</v>
      </c>
    </row>
    <row r="62" spans="1:34" ht="21" customHeight="1">
      <c r="A62" s="11" t="s">
        <v>308</v>
      </c>
      <c r="B62" s="11" t="s">
        <v>300</v>
      </c>
      <c r="D62" s="1">
        <f>IF(D$4&lt;=核心参数输入!$B$9,IF(ABS(D38)&lt;=0.000001,0,SIGN(D38)),0)</f>
        <v>-1</v>
      </c>
      <c r="E62" s="1">
        <f>IF(E$4&lt;=核心参数输入!$B$9,IF(ABS(E38)&lt;=0.000001,0,SIGN(E38)),0)</f>
        <v>-1</v>
      </c>
      <c r="F62" s="1">
        <f>IF(F$4&lt;=核心参数输入!$B$9,IF(ABS(F38)&lt;=0.000001,0,SIGN(F38)),0)</f>
        <v>-1</v>
      </c>
      <c r="G62" s="1">
        <f>IF(G$4&lt;=核心参数输入!$B$9,IF(ABS(G38)&lt;=0.000001,0,SIGN(G38)),0)</f>
        <v>-1</v>
      </c>
      <c r="H62" s="1">
        <f>IF(H$4&lt;=核心参数输入!$B$9,IF(ABS(H38)&lt;=0.000001,0,SIGN(H38)),0)</f>
        <v>1</v>
      </c>
      <c r="I62" s="1">
        <f>IF(I$4&lt;=核心参数输入!$B$9,IF(ABS(I38)&lt;=0.000001,0,SIGN(I38)),0)</f>
        <v>1</v>
      </c>
      <c r="J62" s="1">
        <f>IF(J$4&lt;=核心参数输入!$B$9,IF(ABS(J38)&lt;=0.000001,0,SIGN(J38)),0)</f>
        <v>0</v>
      </c>
      <c r="K62" s="1">
        <f>IF(K$4&lt;=核心参数输入!$B$9,IF(ABS(K38)&lt;=0.000001,0,SIGN(K38)),0)</f>
        <v>0</v>
      </c>
      <c r="L62" s="1">
        <f>IF(L$4&lt;=核心参数输入!$B$9,IF(ABS(L38)&lt;=0.000001,0,SIGN(L38)),0)</f>
        <v>0</v>
      </c>
      <c r="M62" s="1">
        <f>IF(M$4&lt;=核心参数输入!$B$9,IF(ABS(M38)&lt;=0.000001,0,SIGN(M38)),0)</f>
        <v>0</v>
      </c>
      <c r="N62" s="1">
        <f>IF(N$4&lt;=核心参数输入!$B$9,IF(ABS(N38)&lt;=0.000001,0,SIGN(N38)),0)</f>
        <v>0</v>
      </c>
      <c r="O62" s="1">
        <f>IF(O$4&lt;=核心参数输入!$B$9,IF(ABS(O38)&lt;=0.000001,0,SIGN(O38)),0)</f>
        <v>1</v>
      </c>
      <c r="P62" s="1">
        <f>IF(P$4&lt;=核心参数输入!$B$9,IF(ABS(P38)&lt;=0.000001,0,SIGN(P38)),0)</f>
        <v>1</v>
      </c>
      <c r="Q62" s="1">
        <f>IF(Q$4&lt;=核心参数输入!$B$9,IF(ABS(Q38)&lt;=0.000001,0,SIGN(Q38)),0)</f>
        <v>1</v>
      </c>
      <c r="R62" s="1">
        <f>IF(R$4&lt;=核心参数输入!$B$9,IF(ABS(R38)&lt;=0.000001,0,SIGN(R38)),0)</f>
        <v>1</v>
      </c>
      <c r="S62" s="1">
        <f>IF(S$4&lt;=核心参数输入!$B$9,IF(ABS(S38)&lt;=0.000001,0,SIGN(S38)),0)</f>
        <v>1</v>
      </c>
      <c r="T62" s="1">
        <f>IF(T$4&lt;=核心参数输入!$B$9,IF(ABS(T38)&lt;=0.000001,0,SIGN(T38)),0)</f>
        <v>1</v>
      </c>
      <c r="U62" s="1">
        <f>IF(U$4&lt;=核心参数输入!$B$9,IF(ABS(U38)&lt;=0.000001,0,SIGN(U38)),0)</f>
        <v>1</v>
      </c>
      <c r="V62" s="1">
        <f>IF(V$4&lt;=核心参数输入!$B$9,IF(ABS(V38)&lt;=0.000001,0,SIGN(V38)),0)</f>
        <v>1</v>
      </c>
      <c r="W62" s="1">
        <f>IF(W$4&lt;=核心参数输入!$B$9,IF(ABS(W38)&lt;=0.000001,0,SIGN(W38)),0)</f>
        <v>1</v>
      </c>
      <c r="X62" s="1">
        <f>IF(X$4&lt;=核心参数输入!$B$9,IF(ABS(X38)&lt;=0.000001,0,SIGN(X38)),0)</f>
        <v>1</v>
      </c>
      <c r="Y62" s="1">
        <f>IF(Y$4&lt;=核心参数输入!$B$9,IF(ABS(Y38)&lt;=0.000001,0,SIGN(Y38)),0)</f>
        <v>0</v>
      </c>
      <c r="Z62" s="1">
        <f>IF(Z$4&lt;=核心参数输入!$B$9,IF(ABS(Z38)&lt;=0.000001,0,SIGN(Z38)),0)</f>
        <v>0</v>
      </c>
      <c r="AA62" s="1">
        <f>IF(AA$4&lt;=核心参数输入!$B$9,IF(ABS(AA38)&lt;=0.000001,0,SIGN(AA38)),0)</f>
        <v>0</v>
      </c>
      <c r="AB62" s="1">
        <f>IF(AB$4&lt;=核心参数输入!$B$9,IF(ABS(AB38)&lt;=0.000001,0,SIGN(AB38)),0)</f>
        <v>0</v>
      </c>
      <c r="AC62" s="1">
        <f>IF(AC$4&lt;=核心参数输入!$B$9,IF(ABS(AC38)&lt;=0.000001,0,SIGN(AC38)),0)</f>
        <v>0</v>
      </c>
      <c r="AD62" s="1">
        <f>IF(AD$4&lt;=核心参数输入!$B$9,IF(ABS(AD38)&lt;=0.000001,0,SIGN(AD38)),0)</f>
        <v>0</v>
      </c>
      <c r="AE62" s="1">
        <f>IF(AE$4&lt;=核心参数输入!$B$9,IF(ABS(AE38)&lt;=0.000001,0,SIGN(AE38)),0)</f>
        <v>0</v>
      </c>
      <c r="AF62" s="1">
        <f>IF(AF$4&lt;=核心参数输入!$B$9,IF(ABS(AF38)&lt;=0.000001,0,SIGN(AF38)),0)</f>
        <v>0</v>
      </c>
      <c r="AG62" s="1">
        <f>IF(AG$4&lt;=核心参数输入!$B$9,IF(ABS(AG38)&lt;=0.000001,0,SIGN(AG38)),0)</f>
        <v>0</v>
      </c>
      <c r="AH62" s="1">
        <f>IF(AH$4&lt;=核心参数输入!$B$9,IF(ABS(AH38)&lt;=0.000001,0,SIGN(AH38)),0)</f>
        <v>0</v>
      </c>
    </row>
    <row r="63" spans="1:34" ht="21" customHeight="1">
      <c r="A63" s="11" t="s">
        <v>309</v>
      </c>
      <c r="B63" s="11" t="s">
        <v>300</v>
      </c>
      <c r="D63" s="1">
        <f>IF(D$4&lt;=核心参数输入!$B$9,IF(D62=0,0,D62),0)</f>
        <v>-1</v>
      </c>
      <c r="E63" s="1">
        <f>IF(E$4&lt;=核心参数输入!$B$9,IF(E62=0,D63,E62),0)</f>
        <v>-1</v>
      </c>
      <c r="F63" s="1">
        <f>IF(F$4&lt;=核心参数输入!$B$9,IF(F62=0,E63,F62),0)</f>
        <v>-1</v>
      </c>
      <c r="G63" s="1">
        <f>IF(G$4&lt;=核心参数输入!$B$9,IF(G62=0,F63,G62),0)</f>
        <v>-1</v>
      </c>
      <c r="H63" s="1">
        <f>IF(H$4&lt;=核心参数输入!$B$9,IF(H62=0,G63,H62),0)</f>
        <v>1</v>
      </c>
      <c r="I63" s="1">
        <f>IF(I$4&lt;=核心参数输入!$B$9,IF(I62=0,H63,I62),0)</f>
        <v>1</v>
      </c>
      <c r="J63" s="1">
        <f>IF(J$4&lt;=核心参数输入!$B$9,IF(J62=0,I63,J62),0)</f>
        <v>1</v>
      </c>
      <c r="K63" s="1">
        <f>IF(K$4&lt;=核心参数输入!$B$9,IF(K62=0,J63,K62),0)</f>
        <v>1</v>
      </c>
      <c r="L63" s="1">
        <f>IF(L$4&lt;=核心参数输入!$B$9,IF(L62=0,K63,L62),0)</f>
        <v>1</v>
      </c>
      <c r="M63" s="1">
        <f>IF(M$4&lt;=核心参数输入!$B$9,IF(M62=0,L63,M62),0)</f>
        <v>1</v>
      </c>
      <c r="N63" s="1">
        <f>IF(N$4&lt;=核心参数输入!$B$9,IF(N62=0,M63,N62),0)</f>
        <v>1</v>
      </c>
      <c r="O63" s="1">
        <f>IF(O$4&lt;=核心参数输入!$B$9,IF(O62=0,N63,O62),0)</f>
        <v>1</v>
      </c>
      <c r="P63" s="1">
        <f>IF(P$4&lt;=核心参数输入!$B$9,IF(P62=0,O63,P62),0)</f>
        <v>1</v>
      </c>
      <c r="Q63" s="1">
        <f>IF(Q$4&lt;=核心参数输入!$B$9,IF(Q62=0,P63,Q62),0)</f>
        <v>1</v>
      </c>
      <c r="R63" s="1">
        <f>IF(R$4&lt;=核心参数输入!$B$9,IF(R62=0,Q63,R62),0)</f>
        <v>1</v>
      </c>
      <c r="S63" s="1">
        <f>IF(S$4&lt;=核心参数输入!$B$9,IF(S62=0,R63,S62),0)</f>
        <v>1</v>
      </c>
      <c r="T63" s="1">
        <f>IF(T$4&lt;=核心参数输入!$B$9,IF(T62=0,S63,T62),0)</f>
        <v>1</v>
      </c>
      <c r="U63" s="1">
        <f>IF(U$4&lt;=核心参数输入!$B$9,IF(U62=0,T63,U62),0)</f>
        <v>1</v>
      </c>
      <c r="V63" s="1">
        <f>IF(V$4&lt;=核心参数输入!$B$9,IF(V62=0,U63,V62),0)</f>
        <v>1</v>
      </c>
      <c r="W63" s="1">
        <f>IF(W$4&lt;=核心参数输入!$B$9,IF(W62=0,V63,W62),0)</f>
        <v>1</v>
      </c>
      <c r="X63" s="1">
        <f>IF(X$4&lt;=核心参数输入!$B$9,IF(X62=0,W63,X62),0)</f>
        <v>1</v>
      </c>
      <c r="Y63" s="1">
        <f>IF(Y$4&lt;=核心参数输入!$B$9,IF(Y62=0,X63,Y62),0)</f>
        <v>0</v>
      </c>
      <c r="Z63" s="1">
        <f>IF(Z$4&lt;=核心参数输入!$B$9,IF(Z62=0,Y63,Z62),0)</f>
        <v>0</v>
      </c>
      <c r="AA63" s="1">
        <f>IF(AA$4&lt;=核心参数输入!$B$9,IF(AA62=0,Z63,AA62),0)</f>
        <v>0</v>
      </c>
      <c r="AB63" s="1">
        <f>IF(AB$4&lt;=核心参数输入!$B$9,IF(AB62=0,AA63,AB62),0)</f>
        <v>0</v>
      </c>
      <c r="AC63" s="1">
        <f>IF(AC$4&lt;=核心参数输入!$B$9,IF(AC62=0,AB63,AC62),0)</f>
        <v>0</v>
      </c>
      <c r="AD63" s="1">
        <f>IF(AD$4&lt;=核心参数输入!$B$9,IF(AD62=0,AC63,AD62),0)</f>
        <v>0</v>
      </c>
      <c r="AE63" s="1">
        <f>IF(AE$4&lt;=核心参数输入!$B$9,IF(AE62=0,AD63,AE62),0)</f>
        <v>0</v>
      </c>
      <c r="AF63" s="1">
        <f>IF(AF$4&lt;=核心参数输入!$B$9,IF(AF62=0,AE63,AF62),0)</f>
        <v>0</v>
      </c>
      <c r="AG63" s="1">
        <f>IF(AG$4&lt;=核心参数输入!$B$9,IF(AG62=0,AF63,AG62),0)</f>
        <v>0</v>
      </c>
      <c r="AH63" s="1">
        <f>IF(AH$4&lt;=核心参数输入!$B$9,IF(AH62=0,AG63,AH62),0)</f>
        <v>0</v>
      </c>
    </row>
    <row r="64" spans="1:34" ht="21" customHeight="1">
      <c r="A64" s="11" t="s">
        <v>310</v>
      </c>
      <c r="B64" s="11" t="s">
        <v>300</v>
      </c>
      <c r="D64" s="1">
        <f>IF(D$4&lt;=核心参数输入!$B$9,IF(AND(D62&lt;&gt;0,0&lt;&gt;0,D62&lt;&gt;0),1,0),0)</f>
        <v>0</v>
      </c>
      <c r="E64" s="1">
        <f>IF(E$4&lt;=核心参数输入!$B$9,IF(AND(E62&lt;&gt;0,D63&lt;&gt;0,E62&lt;&gt;D63),1,0),0)</f>
        <v>0</v>
      </c>
      <c r="F64" s="1">
        <f>IF(F$4&lt;=核心参数输入!$B$9,IF(AND(F62&lt;&gt;0,E63&lt;&gt;0,F62&lt;&gt;E63),1,0),0)</f>
        <v>0</v>
      </c>
      <c r="G64" s="1">
        <f>IF(G$4&lt;=核心参数输入!$B$9,IF(AND(G62&lt;&gt;0,F63&lt;&gt;0,G62&lt;&gt;F63),1,0),0)</f>
        <v>0</v>
      </c>
      <c r="H64" s="1">
        <f>IF(H$4&lt;=核心参数输入!$B$9,IF(AND(H62&lt;&gt;0,G63&lt;&gt;0,H62&lt;&gt;G63),1,0),0)</f>
        <v>1</v>
      </c>
      <c r="I64" s="1">
        <f>IF(I$4&lt;=核心参数输入!$B$9,IF(AND(I62&lt;&gt;0,H63&lt;&gt;0,I62&lt;&gt;H63),1,0),0)</f>
        <v>0</v>
      </c>
      <c r="J64" s="1">
        <f>IF(J$4&lt;=核心参数输入!$B$9,IF(AND(J62&lt;&gt;0,I63&lt;&gt;0,J62&lt;&gt;I63),1,0),0)</f>
        <v>0</v>
      </c>
      <c r="K64" s="1">
        <f>IF(K$4&lt;=核心参数输入!$B$9,IF(AND(K62&lt;&gt;0,J63&lt;&gt;0,K62&lt;&gt;J63),1,0),0)</f>
        <v>0</v>
      </c>
      <c r="L64" s="1">
        <f>IF(L$4&lt;=核心参数输入!$B$9,IF(AND(L62&lt;&gt;0,K63&lt;&gt;0,L62&lt;&gt;K63),1,0),0)</f>
        <v>0</v>
      </c>
      <c r="M64" s="1">
        <f>IF(M$4&lt;=核心参数输入!$B$9,IF(AND(M62&lt;&gt;0,L63&lt;&gt;0,M62&lt;&gt;L63),1,0),0)</f>
        <v>0</v>
      </c>
      <c r="N64" s="1">
        <f>IF(N$4&lt;=核心参数输入!$B$9,IF(AND(N62&lt;&gt;0,M63&lt;&gt;0,N62&lt;&gt;M63),1,0),0)</f>
        <v>0</v>
      </c>
      <c r="O64" s="1">
        <f>IF(O$4&lt;=核心参数输入!$B$9,IF(AND(O62&lt;&gt;0,N63&lt;&gt;0,O62&lt;&gt;N63),1,0),0)</f>
        <v>0</v>
      </c>
      <c r="P64" s="1">
        <f>IF(P$4&lt;=核心参数输入!$B$9,IF(AND(P62&lt;&gt;0,O63&lt;&gt;0,P62&lt;&gt;O63),1,0),0)</f>
        <v>0</v>
      </c>
      <c r="Q64" s="1">
        <f>IF(Q$4&lt;=核心参数输入!$B$9,IF(AND(Q62&lt;&gt;0,P63&lt;&gt;0,Q62&lt;&gt;P63),1,0),0)</f>
        <v>0</v>
      </c>
      <c r="R64" s="1">
        <f>IF(R$4&lt;=核心参数输入!$B$9,IF(AND(R62&lt;&gt;0,Q63&lt;&gt;0,R62&lt;&gt;Q63),1,0),0)</f>
        <v>0</v>
      </c>
      <c r="S64" s="1">
        <f>IF(S$4&lt;=核心参数输入!$B$9,IF(AND(S62&lt;&gt;0,R63&lt;&gt;0,S62&lt;&gt;R63),1,0),0)</f>
        <v>0</v>
      </c>
      <c r="T64" s="1">
        <f>IF(T$4&lt;=核心参数输入!$B$9,IF(AND(T62&lt;&gt;0,S63&lt;&gt;0,T62&lt;&gt;S63),1,0),0)</f>
        <v>0</v>
      </c>
      <c r="U64" s="1">
        <f>IF(U$4&lt;=核心参数输入!$B$9,IF(AND(U62&lt;&gt;0,T63&lt;&gt;0,U62&lt;&gt;T63),1,0),0)</f>
        <v>0</v>
      </c>
      <c r="V64" s="1">
        <f>IF(V$4&lt;=核心参数输入!$B$9,IF(AND(V62&lt;&gt;0,U63&lt;&gt;0,V62&lt;&gt;U63),1,0),0)</f>
        <v>0</v>
      </c>
      <c r="W64" s="1">
        <f>IF(W$4&lt;=核心参数输入!$B$9,IF(AND(W62&lt;&gt;0,V63&lt;&gt;0,W62&lt;&gt;V63),1,0),0)</f>
        <v>0</v>
      </c>
      <c r="X64" s="1">
        <f>IF(X$4&lt;=核心参数输入!$B$9,IF(AND(X62&lt;&gt;0,W63&lt;&gt;0,X62&lt;&gt;W63),1,0),0)</f>
        <v>0</v>
      </c>
      <c r="Y64" s="1">
        <f>IF(Y$4&lt;=核心参数输入!$B$9,IF(AND(Y62&lt;&gt;0,X63&lt;&gt;0,Y62&lt;&gt;X63),1,0),0)</f>
        <v>0</v>
      </c>
      <c r="Z64" s="1">
        <f>IF(Z$4&lt;=核心参数输入!$B$9,IF(AND(Z62&lt;&gt;0,Y63&lt;&gt;0,Z62&lt;&gt;Y63),1,0),0)</f>
        <v>0</v>
      </c>
      <c r="AA64" s="1">
        <f>IF(AA$4&lt;=核心参数输入!$B$9,IF(AND(AA62&lt;&gt;0,Z63&lt;&gt;0,AA62&lt;&gt;Z63),1,0),0)</f>
        <v>0</v>
      </c>
      <c r="AB64" s="1">
        <f>IF(AB$4&lt;=核心参数输入!$B$9,IF(AND(AB62&lt;&gt;0,AA63&lt;&gt;0,AB62&lt;&gt;AA63),1,0),0)</f>
        <v>0</v>
      </c>
      <c r="AC64" s="1">
        <f>IF(AC$4&lt;=核心参数输入!$B$9,IF(AND(AC62&lt;&gt;0,AB63&lt;&gt;0,AC62&lt;&gt;AB63),1,0),0)</f>
        <v>0</v>
      </c>
      <c r="AD64" s="1">
        <f>IF(AD$4&lt;=核心参数输入!$B$9,IF(AND(AD62&lt;&gt;0,AC63&lt;&gt;0,AD62&lt;&gt;AC63),1,0),0)</f>
        <v>0</v>
      </c>
      <c r="AE64" s="1">
        <f>IF(AE$4&lt;=核心参数输入!$B$9,IF(AND(AE62&lt;&gt;0,AD63&lt;&gt;0,AE62&lt;&gt;AD63),1,0),0)</f>
        <v>0</v>
      </c>
      <c r="AF64" s="1">
        <f>IF(AF$4&lt;=核心参数输入!$B$9,IF(AND(AF62&lt;&gt;0,AE63&lt;&gt;0,AF62&lt;&gt;AE63),1,0),0)</f>
        <v>0</v>
      </c>
      <c r="AG64" s="1">
        <f>IF(AG$4&lt;=核心参数输入!$B$9,IF(AND(AG62&lt;&gt;0,AF63&lt;&gt;0,AG62&lt;&gt;AF63),1,0),0)</f>
        <v>0</v>
      </c>
      <c r="AH64" s="1">
        <f>IF(AH$4&lt;=核心参数输入!$B$9,IF(AND(AH62&lt;&gt;0,AG63&lt;&gt;0,AH62&lt;&gt;AG63),1,0),0)</f>
        <v>0</v>
      </c>
    </row>
    <row r="65" spans="1:34" ht="21" customHeight="1">
      <c r="A65" s="11" t="s">
        <v>311</v>
      </c>
      <c r="B65" s="11" t="s">
        <v>54</v>
      </c>
      <c r="D65" s="1">
        <f>IF(D$4&lt;=核心参数输入!$B$9,销售与出租收入!D13-运营成本与税费!D10-运营成本与税费!D11,0)</f>
        <v>0</v>
      </c>
      <c r="E65" s="1">
        <f>IF(E$4&lt;=核心参数输入!$B$9,销售与出租收入!E13-运营成本与税费!E10-运营成本与税费!E11,0)</f>
        <v>0</v>
      </c>
      <c r="F65" s="1">
        <f>IF(F$4&lt;=核心参数输入!$B$9,销售与出租收入!F13-运营成本与税费!F10-运营成本与税费!F11,0)</f>
        <v>0</v>
      </c>
      <c r="G65" s="1">
        <f>IF(G$4&lt;=核心参数输入!$B$9,销售与出租收入!G13-运营成本与税费!G10-运营成本与税费!G11,0)</f>
        <v>0</v>
      </c>
      <c r="H65" s="1">
        <f>IF(H$4&lt;=核心参数输入!$B$9,销售与出租收入!H13-运营成本与税费!H10-运营成本与税费!H11,0)</f>
        <v>12958.481250000001</v>
      </c>
      <c r="I65" s="1">
        <f>IF(I$4&lt;=核心参数输入!$B$9,销售与出租收入!I13-运营成本与税费!I10-运营成本与税费!I11,0)</f>
        <v>17277.974999999999</v>
      </c>
      <c r="J65" s="1">
        <f>IF(J$4&lt;=核心参数输入!$B$9,销售与出租收入!J13-运营成本与税费!J10-运营成本与税费!J11,0)</f>
        <v>12958.481250000001</v>
      </c>
      <c r="K65" s="1">
        <f>IF(K$4&lt;=核心参数输入!$B$9,销售与出租收入!K13-运营成本与税费!K10-运营成本与税费!K11,0)</f>
        <v>0</v>
      </c>
      <c r="L65" s="1">
        <f>IF(L$4&lt;=核心参数输入!$B$9,销售与出租收入!L13-运营成本与税费!L10-运营成本与税费!L11,0)</f>
        <v>0</v>
      </c>
      <c r="M65" s="1">
        <f>IF(M$4&lt;=核心参数输入!$B$9,销售与出租收入!M13-运营成本与税费!M10-运营成本与税费!M11,0)</f>
        <v>0</v>
      </c>
      <c r="N65" s="1">
        <f>IF(N$4&lt;=核心参数输入!$B$9,销售与出租收入!N13-运营成本与税费!N10-运营成本与税费!N11,0)</f>
        <v>0</v>
      </c>
      <c r="O65" s="1">
        <f>IF(O$4&lt;=核心参数输入!$B$9,销售与出租收入!O13-运营成本与税费!O10-运营成本与税费!O11,0)</f>
        <v>0</v>
      </c>
      <c r="P65" s="1">
        <f>IF(P$4&lt;=核心参数输入!$B$9,销售与出租收入!P13-运营成本与税费!P10-运营成本与税费!P11,0)</f>
        <v>0</v>
      </c>
      <c r="Q65" s="1">
        <f>IF(Q$4&lt;=核心参数输入!$B$9,销售与出租收入!Q13-运营成本与税费!Q10-运营成本与税费!Q11,0)</f>
        <v>0</v>
      </c>
      <c r="R65" s="1">
        <f>IF(R$4&lt;=核心参数输入!$B$9,销售与出租收入!R13-运营成本与税费!R10-运营成本与税费!R11,0)</f>
        <v>0</v>
      </c>
      <c r="S65" s="1">
        <f>IF(S$4&lt;=核心参数输入!$B$9,销售与出租收入!S13-运营成本与税费!S10-运营成本与税费!S11,0)</f>
        <v>0</v>
      </c>
      <c r="T65" s="1">
        <f>IF(T$4&lt;=核心参数输入!$B$9,销售与出租收入!T13-运营成本与税费!T10-运营成本与税费!T11,0)</f>
        <v>0</v>
      </c>
      <c r="U65" s="1">
        <f>IF(U$4&lt;=核心参数输入!$B$9,销售与出租收入!U13-运营成本与税费!U10-运营成本与税费!U11,0)</f>
        <v>0</v>
      </c>
      <c r="V65" s="1">
        <f>IF(V$4&lt;=核心参数输入!$B$9,销售与出租收入!V13-运营成本与税费!V10-运营成本与税费!V11,0)</f>
        <v>0</v>
      </c>
      <c r="W65" s="1">
        <f>IF(W$4&lt;=核心参数输入!$B$9,销售与出租收入!W13-运营成本与税费!W10-运营成本与税费!W11,0)</f>
        <v>0</v>
      </c>
      <c r="X65" s="1">
        <f>IF(X$4&lt;=核心参数输入!$B$9,销售与出租收入!X13-运营成本与税费!X10-运营成本与税费!X11,0)</f>
        <v>0</v>
      </c>
      <c r="Y65" s="1">
        <f>IF(Y$4&lt;=核心参数输入!$B$9,销售与出租收入!Y13-运营成本与税费!Y10-运营成本与税费!Y11,0)</f>
        <v>0</v>
      </c>
      <c r="Z65" s="1">
        <f>IF(Z$4&lt;=核心参数输入!$B$9,销售与出租收入!Z13-运营成本与税费!Z10-运营成本与税费!Z11,0)</f>
        <v>0</v>
      </c>
      <c r="AA65" s="1">
        <f>IF(AA$4&lt;=核心参数输入!$B$9,销售与出租收入!AA13-运营成本与税费!AA10-运营成本与税费!AA11,0)</f>
        <v>0</v>
      </c>
      <c r="AB65" s="1">
        <f>IF(AB$4&lt;=核心参数输入!$B$9,销售与出租收入!AB13-运营成本与税费!AB10-运营成本与税费!AB11,0)</f>
        <v>0</v>
      </c>
      <c r="AC65" s="1">
        <f>IF(AC$4&lt;=核心参数输入!$B$9,销售与出租收入!AC13-运营成本与税费!AC10-运营成本与税费!AC11,0)</f>
        <v>0</v>
      </c>
      <c r="AD65" s="1">
        <f>IF(AD$4&lt;=核心参数输入!$B$9,销售与出租收入!AD13-运营成本与税费!AD10-运营成本与税费!AD11,0)</f>
        <v>0</v>
      </c>
      <c r="AE65" s="1">
        <f>IF(AE$4&lt;=核心参数输入!$B$9,销售与出租收入!AE13-运营成本与税费!AE10-运营成本与税费!AE11,0)</f>
        <v>0</v>
      </c>
      <c r="AF65" s="1">
        <f>IF(AF$4&lt;=核心参数输入!$B$9,销售与出租收入!AF13-运营成本与税费!AF10-运营成本与税费!AF11,0)</f>
        <v>0</v>
      </c>
      <c r="AG65" s="1">
        <f>IF(AG$4&lt;=核心参数输入!$B$9,销售与出租收入!AG13-运营成本与税费!AG10-运营成本与税费!AG11,0)</f>
        <v>0</v>
      </c>
      <c r="AH65" s="1">
        <f>IF(AH$4&lt;=核心参数输入!$B$9,销售与出租收入!AH13-运营成本与税费!AH10-运营成本与税费!AH11,0)</f>
        <v>0</v>
      </c>
    </row>
    <row r="66" spans="1:34" ht="21" customHeight="1">
      <c r="A66" s="11" t="s">
        <v>312</v>
      </c>
      <c r="B66" s="11" t="s">
        <v>54</v>
      </c>
      <c r="D66" s="1">
        <f>IF(D$4&lt;=核心参数输入!$B$9,销售与出租收入!D22-运营成本与税费!D12-运营成本与税费!D13-运营成本与税费!D14-运营成本与税费!D15,0)</f>
        <v>0</v>
      </c>
      <c r="E66" s="1">
        <f>IF(E$4&lt;=核心参数输入!$B$9,销售与出租收入!E22-运营成本与税费!E12-运营成本与税费!E13-运营成本与税费!E14-运营成本与税费!E15,0)</f>
        <v>0</v>
      </c>
      <c r="F66" s="1">
        <f>IF(F$4&lt;=核心参数输入!$B$9,销售与出租收入!F22-运营成本与税费!F12-运营成本与税费!F13-运营成本与税费!F14-运营成本与税费!F15,0)</f>
        <v>0</v>
      </c>
      <c r="G66" s="1">
        <f>IF(G$4&lt;=核心参数输入!$B$9,销售与出租收入!G22-运营成本与税费!G12-运营成本与税费!G13-运营成本与税费!G14-运营成本与税费!G15,0)</f>
        <v>0</v>
      </c>
      <c r="H66" s="1">
        <f>IF(H$4&lt;=核心参数输入!$B$9,销售与出租收入!H22-运营成本与税费!H12-运营成本与税费!H13-运营成本与税费!H14-运营成本与税费!H15,0)</f>
        <v>119.73772949999993</v>
      </c>
      <c r="I66" s="1">
        <f>IF(I$4&lt;=核心参数输入!$B$9,销售与出租收入!I22-运营成本与税费!I12-运营成本与税费!I13-运营成本与税费!I14-运营成本与税费!I15,0)</f>
        <v>569.13857876699979</v>
      </c>
      <c r="J66" s="1">
        <f>IF(J$4&lt;=核心参数输入!$B$9,销售与出租收入!J22-运营成本与税费!J12-运营成本与税费!J13-运营成本与税费!J14-运营成本与税费!J15,0)</f>
        <v>846.58707181063085</v>
      </c>
      <c r="K66" s="1">
        <f>IF(K$4&lt;=核心参数输入!$B$9,销售与出租收入!K22-运营成本与税费!K12-运营成本与税费!K13-运营成本与税费!K14-运营成本与税费!K15,0)</f>
        <v>985.85183276973987</v>
      </c>
      <c r="L66" s="1">
        <f>IF(L$4&lt;=核心参数输入!$B$9,销售与出租收入!L22-运营成本与税费!L12-运营成本与税费!L13-运营成本与税费!L14-运营成本与税费!L15,0)</f>
        <v>1022.965790462149</v>
      </c>
      <c r="M66" s="1">
        <f>IF(M$4&lt;=核心参数输入!$B$9,销售与出租收入!M22-运营成本与税费!M12-运营成本与税费!M13-运营成本与税费!M14-运营成本与税费!M15,0)</f>
        <v>1039.3866290790809</v>
      </c>
      <c r="N66" s="1">
        <f>IF(N$4&lt;=核心参数输入!$B$9,销售与出租收入!N22-运营成本与税费!N12-运营成本与税费!N13-运营成本与税费!N14-运营成本与税费!N15,0)</f>
        <v>1056.0213073104669</v>
      </c>
      <c r="O66" s="1">
        <f>IF(O$4&lt;=核心参数输入!$B$9,销售与出租收入!O22-运营成本与税费!O12-运营成本与税费!O13-运营成本与税费!O14-运营成本与税费!O15,0)</f>
        <v>1072.8723832912278</v>
      </c>
      <c r="P66" s="1">
        <f>IF(P$4&lt;=核心参数输入!$B$9,销售与出租收入!P22-运营成本与税费!P12-运营成本与税费!P13-运营成本与税费!P14-运营成本与税费!P15,0)</f>
        <v>1089.9424405391221</v>
      </c>
      <c r="Q66" s="1">
        <f>IF(Q$4&lt;=核心参数输入!$B$9,销售与出租收入!Q22-运营成本与税费!Q12-运营成本与税费!Q13-运营成本与税费!Q14-运营成本与税费!Q15,0)</f>
        <v>1107.2340880757054</v>
      </c>
      <c r="R66" s="1">
        <f>IF(R$4&lt;=核心参数输入!$B$9,销售与出租收入!R22-运营成本与税费!R12-运营成本与税费!R13-运营成本与税费!R14-运营成本与税费!R15,0)</f>
        <v>1124.749960543907</v>
      </c>
      <c r="S66" s="1">
        <f>IF(S$4&lt;=核心参数输入!$B$9,销售与出租收入!S22-运营成本与税费!S12-运营成本与税费!S13-运营成本与税费!S14-运营成本与税费!S15,0)</f>
        <v>1142.4927183220734</v>
      </c>
      <c r="T66" s="1">
        <f>IF(T$4&lt;=核心参数输入!$B$9,销售与出租收入!T22-运营成本与税费!T12-运营成本与税费!T13-运营成本与税费!T14-运营成本与税费!T15,0)</f>
        <v>1160.465047634312</v>
      </c>
      <c r="U66" s="1">
        <f>IF(U$4&lt;=核心参数输入!$B$9,销售与出租收入!U22-运营成本与税费!U12-运营成本与税费!U13-运营成本与税费!U14-运营成本与税费!U15,0)</f>
        <v>1178.6696606569831</v>
      </c>
      <c r="V66" s="1">
        <f>IF(V$4&lt;=核心参数输入!$B$9,销售与出租收入!V22-运营成本与税费!V12-运营成本与税费!V13-运营成本与税费!V14-运营成本与税费!V15,0)</f>
        <v>1197.1092956211567</v>
      </c>
      <c r="W66" s="1">
        <f>IF(W$4&lt;=核心参数输入!$B$9,销售与出租收入!W22-运营成本与税费!W12-运营成本与税费!W13-运营成本与税费!W14-运营成本与税费!W15,0)</f>
        <v>1215.7867169108792</v>
      </c>
      <c r="X66" s="1">
        <f>IF(X$4&lt;=核心参数输入!$B$9,销售与出租收入!X22-运营成本与税费!X12-运营成本与税费!X13-运营成本与税费!X14-运营成本与税费!X15,0)</f>
        <v>1234.7047151570559</v>
      </c>
      <c r="Y66" s="1">
        <f>IF(Y$4&lt;=核心参数输入!$B$9,销售与出租收入!Y22-运营成本与税费!Y12-运营成本与税费!Y13-运营成本与税费!Y14-运营成本与税费!Y15,0)</f>
        <v>0</v>
      </c>
      <c r="Z66" s="1">
        <f>IF(Z$4&lt;=核心参数输入!$B$9,销售与出租收入!Z22-运营成本与税费!Z12-运营成本与税费!Z13-运营成本与税费!Z14-运营成本与税费!Z15,0)</f>
        <v>0</v>
      </c>
      <c r="AA66" s="1">
        <f>IF(AA$4&lt;=核心参数输入!$B$9,销售与出租收入!AA22-运营成本与税费!AA12-运营成本与税费!AA13-运营成本与税费!AA14-运营成本与税费!AA15,0)</f>
        <v>0</v>
      </c>
      <c r="AB66" s="1">
        <f>IF(AB$4&lt;=核心参数输入!$B$9,销售与出租收入!AB22-运营成本与税费!AB12-运营成本与税费!AB13-运营成本与税费!AB14-运营成本与税费!AB15,0)</f>
        <v>0</v>
      </c>
      <c r="AC66" s="1">
        <f>IF(AC$4&lt;=核心参数输入!$B$9,销售与出租收入!AC22-运营成本与税费!AC12-运营成本与税费!AC13-运营成本与税费!AC14-运营成本与税费!AC15,0)</f>
        <v>0</v>
      </c>
      <c r="AD66" s="1">
        <f>IF(AD$4&lt;=核心参数输入!$B$9,销售与出租收入!AD22-运营成本与税费!AD12-运营成本与税费!AD13-运营成本与税费!AD14-运营成本与税费!AD15,0)</f>
        <v>0</v>
      </c>
      <c r="AE66" s="1">
        <f>IF(AE$4&lt;=核心参数输入!$B$9,销售与出租收入!AE22-运营成本与税费!AE12-运营成本与税费!AE13-运营成本与税费!AE14-运营成本与税费!AE15,0)</f>
        <v>0</v>
      </c>
      <c r="AF66" s="1">
        <f>IF(AF$4&lt;=核心参数输入!$B$9,销售与出租收入!AF22-运营成本与税费!AF12-运营成本与税费!AF13-运营成本与税费!AF14-运营成本与税费!AF15,0)</f>
        <v>0</v>
      </c>
      <c r="AG66" s="1">
        <f>IF(AG$4&lt;=核心参数输入!$B$9,销售与出租收入!AG22-运营成本与税费!AG12-运营成本与税费!AG13-运营成本与税费!AG14-运营成本与税费!AG15,0)</f>
        <v>0</v>
      </c>
      <c r="AH66" s="1">
        <f>IF(AH$4&lt;=核心参数输入!$B$9,销售与出租收入!AH22-运营成本与税费!AH12-运营成本与税费!AH13-运营成本与税费!AH14-运营成本与税费!AH15,0)</f>
        <v>0</v>
      </c>
    </row>
    <row r="87" spans="1:34" ht="24.95" customHeight="1">
      <c r="A87" s="15" t="s">
        <v>313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</row>
    <row r="90" spans="1:34" ht="21" customHeight="1">
      <c r="A90" s="11" t="s">
        <v>256</v>
      </c>
      <c r="B90" s="11" t="s">
        <v>54</v>
      </c>
      <c r="D90" s="1">
        <f>IF(D$4&lt;=核心参数输入!$B$9,销售与出租收入!D103,0)</f>
        <v>0</v>
      </c>
      <c r="E90" s="1">
        <f>IF(E$4&lt;=核心参数输入!$B$9,销售与出租收入!E103,0)</f>
        <v>0</v>
      </c>
      <c r="F90" s="1">
        <f>IF(F$4&lt;=核心参数输入!$B$9,销售与出租收入!F103,0)</f>
        <v>0</v>
      </c>
      <c r="G90" s="1">
        <f>IF(G$4&lt;=核心参数输入!$B$9,销售与出租收入!G103,0)</f>
        <v>0</v>
      </c>
      <c r="H90" s="1">
        <f>IF(H$4&lt;=核心参数输入!$B$9,销售与出租收入!H103,0)</f>
        <v>13557.473982</v>
      </c>
      <c r="I90" s="1">
        <f>IF(I$4&lt;=核心参数输入!$B$9,销售与出租收入!I103,0)</f>
        <v>18354.412939005</v>
      </c>
      <c r="J90" s="1">
        <f>IF(J$4&lt;=核心参数输入!$B$9,销售与出租收入!J103,0)</f>
        <v>14319.349161048505</v>
      </c>
      <c r="K90" s="1">
        <f>IF(K$4&lt;=核心参数输入!$B$9,销售与出租收入!K103,0)</f>
        <v>1445.4645654078365</v>
      </c>
      <c r="L90" s="1">
        <f>IF(L$4&lt;=核心参数输入!$B$9,销售与出租收入!L103,0)</f>
        <v>1490.4345741094137</v>
      </c>
      <c r="M90" s="1">
        <f>IF(M$4&lt;=核心参数输入!$B$9,销售与出租收入!M103,0)</f>
        <v>1512.7910927210551</v>
      </c>
      <c r="N90" s="1">
        <f>IF(N$4&lt;=核心参数输入!$B$9,销售与出租收入!N103,0)</f>
        <v>1535.4829591118703</v>
      </c>
      <c r="O90" s="1">
        <f>IF(O$4&lt;=核心参数输入!$B$9,销售与出租收入!O103,0)</f>
        <v>1558.5152034985483</v>
      </c>
      <c r="P90" s="1">
        <f>IF(P$4&lt;=核心参数输入!$B$9,销售与出租收入!P103,0)</f>
        <v>1581.8929315510261</v>
      </c>
      <c r="Q90" s="1">
        <f>IF(Q$4&lt;=核心参数输入!$B$9,销售与出租收入!Q103,0)</f>
        <v>1605.6213255242915</v>
      </c>
      <c r="R90" s="1">
        <f>IF(R$4&lt;=核心参数输入!$B$9,销售与出租收入!R103,0)</f>
        <v>1629.7056454071555</v>
      </c>
      <c r="S90" s="1">
        <f>IF(S$4&lt;=核心参数输入!$B$9,销售与出租收入!S103,0)</f>
        <v>1654.1512300882625</v>
      </c>
      <c r="T90" s="1">
        <f>IF(T$4&lt;=核心参数输入!$B$9,销售与出租收入!T103,0)</f>
        <v>1678.963498539586</v>
      </c>
      <c r="U90" s="1">
        <f>IF(U$4&lt;=核心参数输入!$B$9,销售与出租收入!U103,0)</f>
        <v>1704.14795101768</v>
      </c>
      <c r="V90" s="1">
        <f>IF(V$4&lt;=核心参数输入!$B$9,销售与出租收入!V103,0)</f>
        <v>1729.7101702829448</v>
      </c>
      <c r="W90" s="1">
        <f>IF(W$4&lt;=核心参数输入!$B$9,销售与出租收入!W103,0)</f>
        <v>1755.6558228371887</v>
      </c>
      <c r="X90" s="1">
        <f>IF(X$4&lt;=核心参数输入!$B$9,销售与出租收入!X103,0)</f>
        <v>1781.9906601797463</v>
      </c>
      <c r="Y90" s="1">
        <f>IF(Y$4&lt;=核心参数输入!$B$9,销售与出租收入!Y103,0)</f>
        <v>0</v>
      </c>
      <c r="Z90" s="1">
        <f>IF(Z$4&lt;=核心参数输入!$B$9,销售与出租收入!Z103,0)</f>
        <v>0</v>
      </c>
      <c r="AA90" s="1">
        <f>IF(AA$4&lt;=核心参数输入!$B$9,销售与出租收入!AA103,0)</f>
        <v>0</v>
      </c>
      <c r="AB90" s="1">
        <f>IF(AB$4&lt;=核心参数输入!$B$9,销售与出租收入!AB103,0)</f>
        <v>0</v>
      </c>
      <c r="AC90" s="1">
        <f>IF(AC$4&lt;=核心参数输入!$B$9,销售与出租收入!AC103,0)</f>
        <v>0</v>
      </c>
      <c r="AD90" s="1">
        <f>IF(AD$4&lt;=核心参数输入!$B$9,销售与出租收入!AD103,0)</f>
        <v>0</v>
      </c>
      <c r="AE90" s="1">
        <f>IF(AE$4&lt;=核心参数输入!$B$9,销售与出租收入!AE103,0)</f>
        <v>0</v>
      </c>
      <c r="AF90" s="1">
        <f>IF(AF$4&lt;=核心参数输入!$B$9,销售与出租收入!AF103,0)</f>
        <v>0</v>
      </c>
      <c r="AG90" s="1">
        <f>IF(AG$4&lt;=核心参数输入!$B$9,销售与出租收入!AG103,0)</f>
        <v>0</v>
      </c>
      <c r="AH90" s="1">
        <f>IF(AH$4&lt;=核心参数输入!$B$9,销售与出租收入!AH103,0)</f>
        <v>0</v>
      </c>
    </row>
    <row r="91" spans="1:34" ht="21" customHeight="1">
      <c r="A91" s="11" t="s">
        <v>257</v>
      </c>
      <c r="B91" s="11" t="s">
        <v>54</v>
      </c>
      <c r="D91" s="1">
        <f>IF(D$4&lt;=核心参数输入!$B$9,运营成本与税费!D96,0)</f>
        <v>0</v>
      </c>
      <c r="E91" s="1">
        <f>IF(E$4&lt;=核心参数输入!$B$9,运营成本与税费!E96,0)</f>
        <v>0</v>
      </c>
      <c r="F91" s="1">
        <f>IF(F$4&lt;=核心参数输入!$B$9,运营成本与税费!F96,0)</f>
        <v>0</v>
      </c>
      <c r="G91" s="1">
        <f>IF(G$4&lt;=核心参数输入!$B$9,运营成本与税费!G96,0)</f>
        <v>0</v>
      </c>
      <c r="H91" s="1">
        <f>IF(H$4&lt;=核心参数输入!$B$9,运营成本与税费!H96,0)</f>
        <v>1943.0296917600001</v>
      </c>
      <c r="I91" s="1">
        <f>IF(I$4&lt;=核心参数输入!$B$9,运营成本与税费!I96,0)</f>
        <v>2486.7068290208999</v>
      </c>
      <c r="J91" s="1">
        <f>IF(J$4&lt;=核心参数输入!$B$9,运营成本与税费!J96,0)</f>
        <v>2092.2872239887311</v>
      </c>
      <c r="K91" s="1">
        <f>IF(K$4&lt;=核心参数输入!$B$9,运营成本与税费!K96,0)</f>
        <v>758.54602177341053</v>
      </c>
      <c r="L91" s="1">
        <f>IF(L$4&lt;=核心参数输入!$B$9,运营成本与税费!L96,0)</f>
        <v>773.00787133969447</v>
      </c>
      <c r="M91" s="1">
        <f>IF(M$4&lt;=核心参数输入!$B$9,运营成本与税费!M96,0)</f>
        <v>783.5266376497899</v>
      </c>
      <c r="N91" s="1">
        <f>IF(N$4&lt;=核心参数输入!$B$9,运营成本与税费!N96,0)</f>
        <v>794.23565841933669</v>
      </c>
      <c r="O91" s="1">
        <f>IF(O$4&lt;=核心参数输入!$B$9,运营成本与税费!O96,0)</f>
        <v>805.13843692452269</v>
      </c>
      <c r="P91" s="1">
        <f>IF(P$4&lt;=核心参数输入!$B$9,运营成本与税费!P96,0)</f>
        <v>816.23854197986429</v>
      </c>
      <c r="Q91" s="1">
        <f>IF(Q$4&lt;=核心参数输入!$B$9,运营成本与税费!Q96,0)</f>
        <v>827.53960918106566</v>
      </c>
      <c r="R91" s="1">
        <f>IF(R$4&lt;=核心参数输入!$B$9,运营成本与税费!R96,0)</f>
        <v>839.04534217171511</v>
      </c>
      <c r="S91" s="1">
        <f>IF(S$4&lt;=核心参数输入!$B$9,运营成本与税费!S96,0)</f>
        <v>850.75951393428284</v>
      </c>
      <c r="T91" s="1">
        <f>IF(T$4&lt;=核心参数输入!$B$9,运营成本与税费!T96,0)</f>
        <v>862.68596810588906</v>
      </c>
      <c r="U91" s="1">
        <f>IF(U$4&lt;=核心参数输入!$B$9,运营成本与税费!U96,0)</f>
        <v>874.82862031932109</v>
      </c>
      <c r="V91" s="1">
        <f>IF(V$4&lt;=核心参数输入!$B$9,运营成本与税费!V96,0)</f>
        <v>887.19145956979162</v>
      </c>
      <c r="W91" s="1">
        <f>IF(W$4&lt;=核心参数输入!$B$9,运营成本与税费!W96,0)</f>
        <v>899.77854960793263</v>
      </c>
      <c r="X91" s="1">
        <f>IF(X$4&lt;=核心参数输入!$B$9,运营成本与税费!X96,0)</f>
        <v>912.59403035953801</v>
      </c>
      <c r="Y91" s="1">
        <f>IF(Y$4&lt;=核心参数输入!$B$9,运营成本与税费!Y96,0)</f>
        <v>0</v>
      </c>
      <c r="Z91" s="1">
        <f>IF(Z$4&lt;=核心参数输入!$B$9,运营成本与税费!Z96,0)</f>
        <v>0</v>
      </c>
      <c r="AA91" s="1">
        <f>IF(AA$4&lt;=核心参数输入!$B$9,运营成本与税费!AA96,0)</f>
        <v>0</v>
      </c>
      <c r="AB91" s="1">
        <f>IF(AB$4&lt;=核心参数输入!$B$9,运营成本与税费!AB96,0)</f>
        <v>0</v>
      </c>
      <c r="AC91" s="1">
        <f>IF(AC$4&lt;=核心参数输入!$B$9,运营成本与税费!AC96,0)</f>
        <v>0</v>
      </c>
      <c r="AD91" s="1">
        <f>IF(AD$4&lt;=核心参数输入!$B$9,运营成本与税费!AD96,0)</f>
        <v>0</v>
      </c>
      <c r="AE91" s="1">
        <f>IF(AE$4&lt;=核心参数输入!$B$9,运营成本与税费!AE96,0)</f>
        <v>0</v>
      </c>
      <c r="AF91" s="1">
        <f>IF(AF$4&lt;=核心参数输入!$B$9,运营成本与税费!AF96,0)</f>
        <v>0</v>
      </c>
      <c r="AG91" s="1">
        <f>IF(AG$4&lt;=核心参数输入!$B$9,运营成本与税费!AG96,0)</f>
        <v>0</v>
      </c>
      <c r="AH91" s="1">
        <f>IF(AH$4&lt;=核心参数输入!$B$9,运营成本与税费!AH96,0)</f>
        <v>0</v>
      </c>
    </row>
    <row r="92" spans="1:34" ht="21" customHeight="1">
      <c r="A92" s="11" t="s">
        <v>258</v>
      </c>
      <c r="B92" s="11" t="s">
        <v>54</v>
      </c>
      <c r="D92" s="1">
        <f>IF(D$4&lt;=核心参数输入!$B$9,D90-D91-运营成本与税费!D97-运营成本与税费!D99,0)</f>
        <v>0</v>
      </c>
      <c r="E92" s="1">
        <f>IF(E$4&lt;=核心参数输入!$B$9,E90-E91-运营成本与税费!E97-运营成本与税费!E99,0)</f>
        <v>0</v>
      </c>
      <c r="F92" s="1">
        <f>IF(F$4&lt;=核心参数输入!$B$9,F90-F91-运营成本与税费!F97-运营成本与税费!F99,0)</f>
        <v>0</v>
      </c>
      <c r="G92" s="1">
        <f>IF(G$4&lt;=核心参数输入!$B$9,G90-G91-运营成本与税费!G97-运营成本与税费!G99,0)</f>
        <v>0</v>
      </c>
      <c r="H92" s="1">
        <f>IF(H$4&lt;=核心参数输入!$B$9,H90-H91-运营成本与税费!H97-运营成本与税费!H99,0)</f>
        <v>-140.0567097600026</v>
      </c>
      <c r="I92" s="1">
        <f>IF(I$4&lt;=核心参数输入!$B$9,I90-I91-运营成本与税费!I97-运营成本与税费!I99,0)</f>
        <v>471.54510998409819</v>
      </c>
      <c r="J92" s="1">
        <f>IF(J$4&lt;=核心参数输入!$B$9,J90-J91-运营成本与税费!J97-运营成本与税费!J99,0)</f>
        <v>472.56093705977287</v>
      </c>
      <c r="K92" s="1">
        <f>IF(K$4&lt;=核心参数输入!$B$9,K90-K91-运营成本与税费!K97-运营成本与税费!K99,0)</f>
        <v>-142.60245636557397</v>
      </c>
      <c r="L92" s="1">
        <f>IF(L$4&lt;=核心参数输入!$B$9,L90-L91-运营成本与税费!L97-运营成本与税费!L99,0)</f>
        <v>-112.09429723028074</v>
      </c>
      <c r="M92" s="1">
        <f>IF(M$4&lt;=核心参数输入!$B$9,M90-M91-运营成本与税费!M97-运营成本与税费!M99,0)</f>
        <v>-100.2565449287348</v>
      </c>
      <c r="N92" s="1">
        <f>IF(N$4&lt;=核心参数输入!$B$9,N90-N91-运营成本与税费!N97-运营成本与税费!N99,0)</f>
        <v>-88.273699307466359</v>
      </c>
      <c r="O92" s="1">
        <f>IF(O$4&lt;=核心参数输入!$B$9,O90-O91-运营成本与税费!O97-运营成本与税费!O99,0)</f>
        <v>-76.144233425974335</v>
      </c>
      <c r="P92" s="1">
        <f>IF(P$4&lt;=核心参数输入!$B$9,P90-P91-运营成本与税费!P97-运营成本与税费!P99,0)</f>
        <v>-63.866610428838158</v>
      </c>
      <c r="Q92" s="1">
        <f>IF(Q$4&lt;=核心参数输入!$B$9,Q90-Q91-运营成本与税费!Q97-运营成本与税费!Q99,0)</f>
        <v>-51.439283656774137</v>
      </c>
      <c r="R92" s="1">
        <f>IF(R$4&lt;=核心参数输入!$B$9,R90-R91-运营成本与税费!R97-运营成本与税费!R99,0)</f>
        <v>-38.86069676455952</v>
      </c>
      <c r="S92" s="1">
        <f>IF(S$4&lt;=核心参数输入!$B$9,S90-S91-运营成本与税费!S97-运营成本与税费!S99,0)</f>
        <v>-26.129283846020257</v>
      </c>
      <c r="T92" s="1">
        <f>IF(T$4&lt;=核心参数输入!$B$9,T90-T91-运营成本与税费!T97-运营成本与税费!T99,0)</f>
        <v>-13.24346956630302</v>
      </c>
      <c r="U92" s="1">
        <f>IF(U$4&lt;=核心参数输入!$B$9,U90-U91-运营成本与税费!U97-运营成本与税费!U99,0)</f>
        <v>-0.20166930164100449</v>
      </c>
      <c r="V92" s="1">
        <f>IF(V$4&lt;=核心参数输入!$B$9,V90-V91-运营成本与税费!V97-运营成本与税费!V99,0)</f>
        <v>12.997710713153197</v>
      </c>
      <c r="W92" s="1">
        <f>IF(W$4&lt;=核心参数输入!$B$9,W90-W91-运营成本与税费!W97-运营成本与税费!W99,0)</f>
        <v>26.35627322925609</v>
      </c>
      <c r="X92" s="1">
        <f>IF(X$4&lt;=核心参数输入!$B$9,X90-X91-运营成本与税费!X97-运营成本与税费!X99,0)</f>
        <v>39.87562982020836</v>
      </c>
      <c r="Y92" s="1">
        <f>IF(Y$4&lt;=核心参数输入!$B$9,Y90-Y91-运营成本与税费!Y97-运营成本与税费!Y99,0)</f>
        <v>0</v>
      </c>
      <c r="Z92" s="1">
        <f>IF(Z$4&lt;=核心参数输入!$B$9,Z90-Z91-运营成本与税费!Z97-运营成本与税费!Z99,0)</f>
        <v>0</v>
      </c>
      <c r="AA92" s="1">
        <f>IF(AA$4&lt;=核心参数输入!$B$9,AA90-AA91-运营成本与税费!AA97-运营成本与税费!AA99,0)</f>
        <v>0</v>
      </c>
      <c r="AB92" s="1">
        <f>IF(AB$4&lt;=核心参数输入!$B$9,AB90-AB91-运营成本与税费!AB97-运营成本与税费!AB99,0)</f>
        <v>0</v>
      </c>
      <c r="AC92" s="1">
        <f>IF(AC$4&lt;=核心参数输入!$B$9,AC90-AC91-运营成本与税费!AC97-运营成本与税费!AC99,0)</f>
        <v>0</v>
      </c>
      <c r="AD92" s="1">
        <f>IF(AD$4&lt;=核心参数输入!$B$9,AD90-AD91-运营成本与税费!AD97-运营成本与税费!AD99,0)</f>
        <v>0</v>
      </c>
      <c r="AE92" s="1">
        <f>IF(AE$4&lt;=核心参数输入!$B$9,AE90-AE91-运营成本与税费!AE97-运营成本与税费!AE99,0)</f>
        <v>0</v>
      </c>
      <c r="AF92" s="1">
        <f>IF(AF$4&lt;=核心参数输入!$B$9,AF90-AF91-运营成本与税费!AF97-运营成本与税费!AF99,0)</f>
        <v>0</v>
      </c>
      <c r="AG92" s="1">
        <f>IF(AG$4&lt;=核心参数输入!$B$9,AG90-AG91-运营成本与税费!AG97-运营成本与税费!AG99,0)</f>
        <v>0</v>
      </c>
      <c r="AH92" s="1">
        <f>IF(AH$4&lt;=核心参数输入!$B$9,AH90-AH91-运营成本与税费!AH97-运营成本与税费!AH99,0)</f>
        <v>0</v>
      </c>
    </row>
    <row r="93" spans="1:34" ht="21" customHeight="1">
      <c r="A93" s="11" t="s">
        <v>259</v>
      </c>
      <c r="B93" s="11" t="s">
        <v>54</v>
      </c>
      <c r="D93" s="1">
        <f>IF(D$4&lt;=核心参数输入!$B$9,D90-D91-运营成本与税费!D98-运营成本与税费!D100,0)</f>
        <v>0</v>
      </c>
      <c r="E93" s="1">
        <f>IF(E$4&lt;=核心参数输入!$B$9,E90-E91-运营成本与税费!E98-运营成本与税费!E100,0)</f>
        <v>0</v>
      </c>
      <c r="F93" s="1">
        <f>IF(F$4&lt;=核心参数输入!$B$9,F90-F91-运营成本与税费!F98-运营成本与税费!F100,0)</f>
        <v>0</v>
      </c>
      <c r="G93" s="1">
        <f>IF(G$4&lt;=核心参数输入!$B$9,G90-G91-运营成本与税费!G98-运营成本与税费!G100,0)</f>
        <v>0</v>
      </c>
      <c r="H93" s="1">
        <f>IF(H$4&lt;=核心参数输入!$B$9,H90-H91-运营成本与税费!H98-运营成本与税费!H100,0)</f>
        <v>-478.83920976000286</v>
      </c>
      <c r="I93" s="1">
        <f>IF(I$4&lt;=核心参数输入!$B$9,I90-I91-运营成本与税费!I98-运营成本与税费!I100,0)</f>
        <v>28.812609984099026</v>
      </c>
      <c r="J93" s="1">
        <f>IF(J$4&lt;=核心参数输入!$B$9,J90-J91-运营成本与税费!J98-运营成本与税费!J100,0)</f>
        <v>133.77843705977261</v>
      </c>
      <c r="K93" s="1">
        <f>IF(K$4&lt;=核心参数输入!$B$9,K90-K91-运营成本与税费!K98-运营成本与税费!K100,0)</f>
        <v>-169.53495636557386</v>
      </c>
      <c r="L93" s="1">
        <f>IF(L$4&lt;=核心参数输入!$B$9,L90-L91-运营成本与税费!L98-运营成本与税费!L100,0)</f>
        <v>-139.02679723028064</v>
      </c>
      <c r="M93" s="1">
        <f>IF(M$4&lt;=核心参数输入!$B$9,M90-M91-运营成本与税费!M98-运营成本与税费!M100,0)</f>
        <v>-127.18904492873469</v>
      </c>
      <c r="N93" s="1">
        <f>IF(N$4&lt;=核心参数输入!$B$9,N90-N91-运营成本与税费!N98-运营成本与税费!N100,0)</f>
        <v>-115.20619930746625</v>
      </c>
      <c r="O93" s="1">
        <f>IF(O$4&lt;=核心参数输入!$B$9,O90-O91-运营成本与税费!O98-运营成本与税费!O100,0)</f>
        <v>-103.07673342597423</v>
      </c>
      <c r="P93" s="1">
        <f>IF(P$4&lt;=核心参数输入!$B$9,P90-P91-运营成本与税费!P98-运营成本与税费!P100,0)</f>
        <v>-90.799110428838048</v>
      </c>
      <c r="Q93" s="1">
        <f>IF(Q$4&lt;=核心参数输入!$B$9,Q90-Q91-运营成本与税费!Q98-运营成本与税费!Q100,0)</f>
        <v>-78.371783656774028</v>
      </c>
      <c r="R93" s="1">
        <f>IF(R$4&lt;=核心参数输入!$B$9,R90-R91-运营成本与税费!R98-运营成本与税费!R100,0)</f>
        <v>-65.793196764559411</v>
      </c>
      <c r="S93" s="1">
        <f>IF(S$4&lt;=核心参数输入!$B$9,S90-S91-运营成本与税费!S98-运营成本与税费!S100,0)</f>
        <v>-53.061783846020148</v>
      </c>
      <c r="T93" s="1">
        <f>IF(T$4&lt;=核心参数输入!$B$9,T90-T91-运营成本与税费!T98-运营成本与税费!T100,0)</f>
        <v>-40.175969566302911</v>
      </c>
      <c r="U93" s="1">
        <f>IF(U$4&lt;=核心参数输入!$B$9,U90-U91-运营成本与税费!U98-运营成本与税费!U100,0)</f>
        <v>-27.134169301640895</v>
      </c>
      <c r="V93" s="1">
        <f>IF(V$4&lt;=核心参数输入!$B$9,V90-V91-运营成本与税费!V98-运营成本与税费!V100,0)</f>
        <v>-13.934789286846694</v>
      </c>
      <c r="W93" s="1">
        <f>IF(W$4&lt;=核心参数输入!$B$9,W90-W91-运营成本与税费!W98-运营成本与税费!W100,0)</f>
        <v>-0.57622677074380135</v>
      </c>
      <c r="X93" s="1">
        <f>IF(X$4&lt;=核心参数输入!$B$9,X90-X91-运营成本与税费!X98-运营成本与税费!X100,0)</f>
        <v>12.943129820208469</v>
      </c>
      <c r="Y93" s="1">
        <f>IF(Y$4&lt;=核心参数输入!$B$9,Y90-Y91-运营成本与税费!Y98-运营成本与税费!Y100,0)</f>
        <v>0</v>
      </c>
      <c r="Z93" s="1">
        <f>IF(Z$4&lt;=核心参数输入!$B$9,Z90-Z91-运营成本与税费!Z98-运营成本与税费!Z100,0)</f>
        <v>0</v>
      </c>
      <c r="AA93" s="1">
        <f>IF(AA$4&lt;=核心参数输入!$B$9,AA90-AA91-运营成本与税费!AA98-运营成本与税费!AA100,0)</f>
        <v>0</v>
      </c>
      <c r="AB93" s="1">
        <f>IF(AB$4&lt;=核心参数输入!$B$9,AB90-AB91-运营成本与税费!AB98-运营成本与税费!AB100,0)</f>
        <v>0</v>
      </c>
      <c r="AC93" s="1">
        <f>IF(AC$4&lt;=核心参数输入!$B$9,AC90-AC91-运营成本与税费!AC98-运营成本与税费!AC100,0)</f>
        <v>0</v>
      </c>
      <c r="AD93" s="1">
        <f>IF(AD$4&lt;=核心参数输入!$B$9,AD90-AD91-运营成本与税费!AD98-运营成本与税费!AD100,0)</f>
        <v>0</v>
      </c>
      <c r="AE93" s="1">
        <f>IF(AE$4&lt;=核心参数输入!$B$9,AE90-AE91-运营成本与税费!AE98-运营成本与税费!AE100,0)</f>
        <v>0</v>
      </c>
      <c r="AF93" s="1">
        <f>IF(AF$4&lt;=核心参数输入!$B$9,AF90-AF91-运营成本与税费!AF98-运营成本与税费!AF100,0)</f>
        <v>0</v>
      </c>
      <c r="AG93" s="1">
        <f>IF(AG$4&lt;=核心参数输入!$B$9,AG90-AG91-运营成本与税费!AG98-运营成本与税费!AG100,0)</f>
        <v>0</v>
      </c>
      <c r="AH93" s="1">
        <f>IF(AH$4&lt;=核心参数输入!$B$9,AH90-AH91-运营成本与税费!AH98-运营成本与税费!AH100,0)</f>
        <v>0</v>
      </c>
    </row>
    <row r="94" spans="1:34" ht="21" customHeight="1">
      <c r="A94" s="11" t="s">
        <v>260</v>
      </c>
      <c r="B94" s="11" t="s">
        <v>54</v>
      </c>
      <c r="D94" s="1">
        <f>IF(D$4&lt;=核心参数输入!$B$9,融资与还本付息!D97,0)</f>
        <v>0</v>
      </c>
      <c r="E94" s="1">
        <f>IF(E$4&lt;=核心参数输入!$B$9,融资与还本付息!E97,0)</f>
        <v>0</v>
      </c>
      <c r="F94" s="1">
        <f>IF(F$4&lt;=核心参数输入!$B$9,融资与还本付息!F97,0)</f>
        <v>0</v>
      </c>
      <c r="G94" s="1">
        <f>IF(G$4&lt;=核心参数输入!$B$9,融资与还本付息!G97,0)</f>
        <v>0</v>
      </c>
      <c r="H94" s="1">
        <f>IF(H$4&lt;=核心参数输入!$B$9,融资与还本付息!H97,0)</f>
        <v>1170.0000000000002</v>
      </c>
      <c r="I94" s="1">
        <f>IF(I$4&lt;=核心参数输入!$B$9,融资与还本付息!I97,0)</f>
        <v>990.00000000000011</v>
      </c>
      <c r="J94" s="1">
        <f>IF(J$4&lt;=核心参数输入!$B$9,融资与还本付息!J97,0)</f>
        <v>810.00000000000011</v>
      </c>
      <c r="K94" s="1">
        <f>IF(K$4&lt;=核心参数输入!$B$9,融资与还本付息!K97,0)</f>
        <v>630</v>
      </c>
      <c r="L94" s="1">
        <f>IF(L$4&lt;=核心参数输入!$B$9,融资与还本付息!L97,0)</f>
        <v>449.99999999999994</v>
      </c>
      <c r="M94" s="1">
        <f>IF(M$4&lt;=核心参数输入!$B$9,融资与还本付息!M97,0)</f>
        <v>269.99999999999989</v>
      </c>
      <c r="N94" s="1">
        <f>IF(N$4&lt;=核心参数输入!$B$9,融资与还本付息!N97,0)</f>
        <v>89.999999999999957</v>
      </c>
      <c r="O94" s="1">
        <f>IF(O$4&lt;=核心参数输入!$B$9,融资与还本付息!O97,0)</f>
        <v>0</v>
      </c>
      <c r="P94" s="1">
        <f>IF(P$4&lt;=核心参数输入!$B$9,融资与还本付息!P97,0)</f>
        <v>0</v>
      </c>
      <c r="Q94" s="1">
        <f>IF(Q$4&lt;=核心参数输入!$B$9,融资与还本付息!Q97,0)</f>
        <v>0</v>
      </c>
      <c r="R94" s="1">
        <f>IF(R$4&lt;=核心参数输入!$B$9,融资与还本付息!R97,0)</f>
        <v>0</v>
      </c>
      <c r="S94" s="1">
        <f>IF(S$4&lt;=核心参数输入!$B$9,融资与还本付息!S97,0)</f>
        <v>0</v>
      </c>
      <c r="T94" s="1">
        <f>IF(T$4&lt;=核心参数输入!$B$9,融资与还本付息!T97,0)</f>
        <v>0</v>
      </c>
      <c r="U94" s="1">
        <f>IF(U$4&lt;=核心参数输入!$B$9,融资与还本付息!U97,0)</f>
        <v>0</v>
      </c>
      <c r="V94" s="1">
        <f>IF(V$4&lt;=核心参数输入!$B$9,融资与还本付息!V97,0)</f>
        <v>0</v>
      </c>
      <c r="W94" s="1">
        <f>IF(W$4&lt;=核心参数输入!$B$9,融资与还本付息!W97,0)</f>
        <v>0</v>
      </c>
      <c r="X94" s="1">
        <f>IF(X$4&lt;=核心参数输入!$B$9,融资与还本付息!X97,0)</f>
        <v>0</v>
      </c>
      <c r="Y94" s="1">
        <f>IF(Y$4&lt;=核心参数输入!$B$9,融资与还本付息!Y97,0)</f>
        <v>0</v>
      </c>
      <c r="Z94" s="1">
        <f>IF(Z$4&lt;=核心参数输入!$B$9,融资与还本付息!Z97,0)</f>
        <v>0</v>
      </c>
      <c r="AA94" s="1">
        <f>IF(AA$4&lt;=核心参数输入!$B$9,融资与还本付息!AA97,0)</f>
        <v>0</v>
      </c>
      <c r="AB94" s="1">
        <f>IF(AB$4&lt;=核心参数输入!$B$9,融资与还本付息!AB97,0)</f>
        <v>0</v>
      </c>
      <c r="AC94" s="1">
        <f>IF(AC$4&lt;=核心参数输入!$B$9,融资与还本付息!AC97,0)</f>
        <v>0</v>
      </c>
      <c r="AD94" s="1">
        <f>IF(AD$4&lt;=核心参数输入!$B$9,融资与还本付息!AD97,0)</f>
        <v>0</v>
      </c>
      <c r="AE94" s="1">
        <f>IF(AE$4&lt;=核心参数输入!$B$9,融资与还本付息!AE97,0)</f>
        <v>0</v>
      </c>
      <c r="AF94" s="1">
        <f>IF(AF$4&lt;=核心参数输入!$B$9,融资与还本付息!AF97,0)</f>
        <v>0</v>
      </c>
      <c r="AG94" s="1">
        <f>IF(AG$4&lt;=核心参数输入!$B$9,融资与还本付息!AG97,0)</f>
        <v>0</v>
      </c>
      <c r="AH94" s="1">
        <f>IF(AH$4&lt;=核心参数输入!$B$9,融资与还本付息!AH97,0)</f>
        <v>0</v>
      </c>
    </row>
    <row r="95" spans="1:34" ht="21" customHeight="1">
      <c r="A95" s="11" t="s">
        <v>261</v>
      </c>
      <c r="B95" s="11" t="s">
        <v>54</v>
      </c>
      <c r="D95" s="1">
        <f>IF(D$4&lt;=核心参数输入!$B$9,D93-D94,0)</f>
        <v>0</v>
      </c>
      <c r="E95" s="1">
        <f>IF(E$4&lt;=核心参数输入!$B$9,E93-E94,0)</f>
        <v>0</v>
      </c>
      <c r="F95" s="1">
        <f>IF(F$4&lt;=核心参数输入!$B$9,F93-F94,0)</f>
        <v>0</v>
      </c>
      <c r="G95" s="1">
        <f>IF(G$4&lt;=核心参数输入!$B$9,G93-G94,0)</f>
        <v>0</v>
      </c>
      <c r="H95" s="1">
        <f>IF(H$4&lt;=核心参数输入!$B$9,H93-H94,0)</f>
        <v>-1648.8392097600031</v>
      </c>
      <c r="I95" s="1">
        <f>IF(I$4&lt;=核心参数输入!$B$9,I93-I94,0)</f>
        <v>-961.18739001590109</v>
      </c>
      <c r="J95" s="1">
        <f>IF(J$4&lt;=核心参数输入!$B$9,J93-J94,0)</f>
        <v>-676.2215629402275</v>
      </c>
      <c r="K95" s="1">
        <f>IF(K$4&lt;=核心参数输入!$B$9,K93-K94,0)</f>
        <v>-799.53495636557386</v>
      </c>
      <c r="L95" s="1">
        <f>IF(L$4&lt;=核心参数输入!$B$9,L93-L94,0)</f>
        <v>-589.02679723028064</v>
      </c>
      <c r="M95" s="1">
        <f>IF(M$4&lt;=核心参数输入!$B$9,M93-M94,0)</f>
        <v>-397.18904492873457</v>
      </c>
      <c r="N95" s="1">
        <f>IF(N$4&lt;=核心参数输入!$B$9,N93-N94,0)</f>
        <v>-205.20619930746619</v>
      </c>
      <c r="O95" s="1">
        <f>IF(O$4&lt;=核心参数输入!$B$9,O93-O94,0)</f>
        <v>-103.07673342597423</v>
      </c>
      <c r="P95" s="1">
        <f>IF(P$4&lt;=核心参数输入!$B$9,P93-P94,0)</f>
        <v>-90.799110428838048</v>
      </c>
      <c r="Q95" s="1">
        <f>IF(Q$4&lt;=核心参数输入!$B$9,Q93-Q94,0)</f>
        <v>-78.371783656774028</v>
      </c>
      <c r="R95" s="1">
        <f>IF(R$4&lt;=核心参数输入!$B$9,R93-R94,0)</f>
        <v>-65.793196764559411</v>
      </c>
      <c r="S95" s="1">
        <f>IF(S$4&lt;=核心参数输入!$B$9,S93-S94,0)</f>
        <v>-53.061783846020148</v>
      </c>
      <c r="T95" s="1">
        <f>IF(T$4&lt;=核心参数输入!$B$9,T93-T94,0)</f>
        <v>-40.175969566302911</v>
      </c>
      <c r="U95" s="1">
        <f>IF(U$4&lt;=核心参数输入!$B$9,U93-U94,0)</f>
        <v>-27.134169301640895</v>
      </c>
      <c r="V95" s="1">
        <f>IF(V$4&lt;=核心参数输入!$B$9,V93-V94,0)</f>
        <v>-13.934789286846694</v>
      </c>
      <c r="W95" s="1">
        <f>IF(W$4&lt;=核心参数输入!$B$9,W93-W94,0)</f>
        <v>-0.57622677074380135</v>
      </c>
      <c r="X95" s="1">
        <f>IF(X$4&lt;=核心参数输入!$B$9,X93-X94,0)</f>
        <v>12.943129820208469</v>
      </c>
      <c r="Y95" s="1">
        <f>IF(Y$4&lt;=核心参数输入!$B$9,Y93-Y94,0)</f>
        <v>0</v>
      </c>
      <c r="Z95" s="1">
        <f>IF(Z$4&lt;=核心参数输入!$B$9,Z93-Z94,0)</f>
        <v>0</v>
      </c>
      <c r="AA95" s="1">
        <f>IF(AA$4&lt;=核心参数输入!$B$9,AA93-AA94,0)</f>
        <v>0</v>
      </c>
      <c r="AB95" s="1">
        <f>IF(AB$4&lt;=核心参数输入!$B$9,AB93-AB94,0)</f>
        <v>0</v>
      </c>
      <c r="AC95" s="1">
        <f>IF(AC$4&lt;=核心参数输入!$B$9,AC93-AC94,0)</f>
        <v>0</v>
      </c>
      <c r="AD95" s="1">
        <f>IF(AD$4&lt;=核心参数输入!$B$9,AD93-AD94,0)</f>
        <v>0</v>
      </c>
      <c r="AE95" s="1">
        <f>IF(AE$4&lt;=核心参数输入!$B$9,AE93-AE94,0)</f>
        <v>0</v>
      </c>
      <c r="AF95" s="1">
        <f>IF(AF$4&lt;=核心参数输入!$B$9,AF93-AF94,0)</f>
        <v>0</v>
      </c>
      <c r="AG95" s="1">
        <f>IF(AG$4&lt;=核心参数输入!$B$9,AG93-AG94,0)</f>
        <v>0</v>
      </c>
      <c r="AH95" s="1">
        <f>IF(AH$4&lt;=核心参数输入!$B$9,AH93-AH94,0)</f>
        <v>0</v>
      </c>
    </row>
    <row r="96" spans="1:34" ht="21" customHeight="1">
      <c r="A96" s="11" t="s">
        <v>262</v>
      </c>
      <c r="B96" s="11" t="s">
        <v>54</v>
      </c>
      <c r="D96" s="1">
        <f>IF(D$4&lt;=核心参数输入!$B$9,MAX(0,D92+运营成本与税费!D104)*核心参数输入!$B$52,0)</f>
        <v>0</v>
      </c>
      <c r="E96" s="1">
        <f>IF(E$4&lt;=核心参数输入!$B$9,MAX(0,E92+运营成本与税费!E104)*核心参数输入!$B$52,0)</f>
        <v>0</v>
      </c>
      <c r="F96" s="1">
        <f>IF(F$4&lt;=核心参数输入!$B$9,MAX(0,F92+运营成本与税费!F104)*核心参数输入!$B$52,0)</f>
        <v>0</v>
      </c>
      <c r="G96" s="1">
        <f>IF(G$4&lt;=核心参数输入!$B$9,MAX(0,G92+运营成本与税费!G104)*核心参数输入!$B$52,0)</f>
        <v>0</v>
      </c>
      <c r="H96" s="1">
        <f>IF(H$4&lt;=核心参数输入!$B$9,MAX(0,H92+运营成本与税费!H104)*核心参数输入!$B$52,0)</f>
        <v>0</v>
      </c>
      <c r="I96" s="1">
        <f>IF(I$4&lt;=核心参数输入!$B$9,MAX(0,I92+运营成本与税费!I104)*核心参数输入!$B$52,0)</f>
        <v>117.88627749602455</v>
      </c>
      <c r="J96" s="1">
        <f>IF(J$4&lt;=核心参数输入!$B$9,MAX(0,J92+运营成本与税费!J104)*核心参数输入!$B$52,0)</f>
        <v>118.14023426494322</v>
      </c>
      <c r="K96" s="1">
        <f>IF(K$4&lt;=核心参数输入!$B$9,MAX(0,K92+运营成本与税费!K104)*核心参数输入!$B$52,0)</f>
        <v>0</v>
      </c>
      <c r="L96" s="1">
        <f>IF(L$4&lt;=核心参数输入!$B$9,MAX(0,L92+运营成本与税费!L104)*核心参数输入!$B$52,0)</f>
        <v>0</v>
      </c>
      <c r="M96" s="1">
        <f>IF(M$4&lt;=核心参数输入!$B$9,MAX(0,M92+运营成本与税费!M104)*核心参数输入!$B$52,0)</f>
        <v>0</v>
      </c>
      <c r="N96" s="1">
        <f>IF(N$4&lt;=核心参数输入!$B$9,MAX(0,N92+运营成本与税费!N104)*核心参数输入!$B$52,0)</f>
        <v>0</v>
      </c>
      <c r="O96" s="1">
        <f>IF(O$4&lt;=核心参数输入!$B$9,MAX(0,O92+运营成本与税费!O104)*核心参数输入!$B$52,0)</f>
        <v>0</v>
      </c>
      <c r="P96" s="1">
        <f>IF(P$4&lt;=核心参数输入!$B$9,MAX(0,P92+运营成本与税费!P104)*核心参数输入!$B$52,0)</f>
        <v>0</v>
      </c>
      <c r="Q96" s="1">
        <f>IF(Q$4&lt;=核心参数输入!$B$9,MAX(0,Q92+运营成本与税费!Q104)*核心参数输入!$B$52,0)</f>
        <v>0</v>
      </c>
      <c r="R96" s="1">
        <f>IF(R$4&lt;=核心参数输入!$B$9,MAX(0,R92+运营成本与税费!R104)*核心参数输入!$B$52,0)</f>
        <v>0</v>
      </c>
      <c r="S96" s="1">
        <f>IF(S$4&lt;=核心参数输入!$B$9,MAX(0,S92+运营成本与税费!S104)*核心参数输入!$B$52,0)</f>
        <v>0</v>
      </c>
      <c r="T96" s="1">
        <f>IF(T$4&lt;=核心参数输入!$B$9,MAX(0,T92+运营成本与税费!T104)*核心参数输入!$B$52,0)</f>
        <v>0</v>
      </c>
      <c r="U96" s="1">
        <f>IF(U$4&lt;=核心参数输入!$B$9,MAX(0,U92+运营成本与税费!U104)*核心参数输入!$B$52,0)</f>
        <v>0</v>
      </c>
      <c r="V96" s="1">
        <f>IF(V$4&lt;=核心参数输入!$B$9,MAX(0,V92+运营成本与税费!V104)*核心参数输入!$B$52,0)</f>
        <v>3.2494276782882991</v>
      </c>
      <c r="W96" s="1">
        <f>IF(W$4&lt;=核心参数输入!$B$9,MAX(0,W92+运营成本与税费!W104)*核心参数输入!$B$52,0)</f>
        <v>6.5890683073140224</v>
      </c>
      <c r="X96" s="1">
        <f>IF(X$4&lt;=核心参数输入!$B$9,MAX(0,X92+运营成本与税费!X104)*核心参数输入!$B$52,0)</f>
        <v>9.96890745505209</v>
      </c>
      <c r="Y96" s="1">
        <f>IF(Y$4&lt;=核心参数输入!$B$9,MAX(0,Y92+运营成本与税费!Y104)*核心参数输入!$B$52,0)</f>
        <v>0</v>
      </c>
      <c r="Z96" s="1">
        <f>IF(Z$4&lt;=核心参数输入!$B$9,MAX(0,Z92+运营成本与税费!Z104)*核心参数输入!$B$52,0)</f>
        <v>0</v>
      </c>
      <c r="AA96" s="1">
        <f>IF(AA$4&lt;=核心参数输入!$B$9,MAX(0,AA92+运营成本与税费!AA104)*核心参数输入!$B$52,0)</f>
        <v>0</v>
      </c>
      <c r="AB96" s="1">
        <f>IF(AB$4&lt;=核心参数输入!$B$9,MAX(0,AB92+运营成本与税费!AB104)*核心参数输入!$B$52,0)</f>
        <v>0</v>
      </c>
      <c r="AC96" s="1">
        <f>IF(AC$4&lt;=核心参数输入!$B$9,MAX(0,AC92+运营成本与税费!AC104)*核心参数输入!$B$52,0)</f>
        <v>0</v>
      </c>
      <c r="AD96" s="1">
        <f>IF(AD$4&lt;=核心参数输入!$B$9,MAX(0,AD92+运营成本与税费!AD104)*核心参数输入!$B$52,0)</f>
        <v>0</v>
      </c>
      <c r="AE96" s="1">
        <f>IF(AE$4&lt;=核心参数输入!$B$9,MAX(0,AE92+运营成本与税费!AE104)*核心参数输入!$B$52,0)</f>
        <v>0</v>
      </c>
      <c r="AF96" s="1">
        <f>IF(AF$4&lt;=核心参数输入!$B$9,MAX(0,AF92+运营成本与税费!AF104)*核心参数输入!$B$52,0)</f>
        <v>0</v>
      </c>
      <c r="AG96" s="1">
        <f>IF(AG$4&lt;=核心参数输入!$B$9,MAX(0,AG92+运营成本与税费!AG104)*核心参数输入!$B$52,0)</f>
        <v>0</v>
      </c>
      <c r="AH96" s="1">
        <f>IF(AH$4&lt;=核心参数输入!$B$9,MAX(0,AH92+运营成本与税费!AH104)*核心参数输入!$B$52,0)</f>
        <v>0</v>
      </c>
    </row>
    <row r="97" spans="1:34" ht="21" customHeight="1">
      <c r="A97" s="11" t="s">
        <v>263</v>
      </c>
      <c r="B97" s="11" t="s">
        <v>54</v>
      </c>
      <c r="D97" s="1">
        <f>IF(D$4&lt;=核心参数输入!$B$9,MAX(0,D95+运营成本与税费!D105)*核心参数输入!$B$52,0)</f>
        <v>0</v>
      </c>
      <c r="E97" s="1">
        <f>IF(E$4&lt;=核心参数输入!$B$9,MAX(0,E95+运营成本与税费!E105)*核心参数输入!$B$52,0)</f>
        <v>0</v>
      </c>
      <c r="F97" s="1">
        <f>IF(F$4&lt;=核心参数输入!$B$9,MAX(0,F95+运营成本与税费!F105)*核心参数输入!$B$52,0)</f>
        <v>0</v>
      </c>
      <c r="G97" s="1">
        <f>IF(G$4&lt;=核心参数输入!$B$9,MAX(0,G95+运营成本与税费!G105)*核心参数输入!$B$52,0)</f>
        <v>0</v>
      </c>
      <c r="H97" s="1">
        <f>IF(H$4&lt;=核心参数输入!$B$9,MAX(0,H95+运营成本与税费!H105)*核心参数输入!$B$52,0)</f>
        <v>0</v>
      </c>
      <c r="I97" s="1">
        <f>IF(I$4&lt;=核心参数输入!$B$9,MAX(0,I95+运营成本与税费!I105)*核心参数输入!$B$52,0)</f>
        <v>0</v>
      </c>
      <c r="J97" s="1">
        <f>IF(J$4&lt;=核心参数输入!$B$9,MAX(0,J95+运营成本与税费!J105)*核心参数输入!$B$52,0)</f>
        <v>0</v>
      </c>
      <c r="K97" s="1">
        <f>IF(K$4&lt;=核心参数输入!$B$9,MAX(0,K95+运营成本与税费!K105)*核心参数输入!$B$52,0)</f>
        <v>0</v>
      </c>
      <c r="L97" s="1">
        <f>IF(L$4&lt;=核心参数输入!$B$9,MAX(0,L95+运营成本与税费!L105)*核心参数输入!$B$52,0)</f>
        <v>0</v>
      </c>
      <c r="M97" s="1">
        <f>IF(M$4&lt;=核心参数输入!$B$9,MAX(0,M95+运营成本与税费!M105)*核心参数输入!$B$52,0)</f>
        <v>0</v>
      </c>
      <c r="N97" s="1">
        <f>IF(N$4&lt;=核心参数输入!$B$9,MAX(0,N95+运营成本与税费!N105)*核心参数输入!$B$52,0)</f>
        <v>0</v>
      </c>
      <c r="O97" s="1">
        <f>IF(O$4&lt;=核心参数输入!$B$9,MAX(0,O95+运营成本与税费!O105)*核心参数输入!$B$52,0)</f>
        <v>0</v>
      </c>
      <c r="P97" s="1">
        <f>IF(P$4&lt;=核心参数输入!$B$9,MAX(0,P95+运营成本与税费!P105)*核心参数输入!$B$52,0)</f>
        <v>0</v>
      </c>
      <c r="Q97" s="1">
        <f>IF(Q$4&lt;=核心参数输入!$B$9,MAX(0,Q95+运营成本与税费!Q105)*核心参数输入!$B$52,0)</f>
        <v>0</v>
      </c>
      <c r="R97" s="1">
        <f>IF(R$4&lt;=核心参数输入!$B$9,MAX(0,R95+运营成本与税费!R105)*核心参数输入!$B$52,0)</f>
        <v>0</v>
      </c>
      <c r="S97" s="1">
        <f>IF(S$4&lt;=核心参数输入!$B$9,MAX(0,S95+运营成本与税费!S105)*核心参数输入!$B$52,0)</f>
        <v>0</v>
      </c>
      <c r="T97" s="1">
        <f>IF(T$4&lt;=核心参数输入!$B$9,MAX(0,T95+运营成本与税费!T105)*核心参数输入!$B$52,0)</f>
        <v>0</v>
      </c>
      <c r="U97" s="1">
        <f>IF(U$4&lt;=核心参数输入!$B$9,MAX(0,U95+运营成本与税费!U105)*核心参数输入!$B$52,0)</f>
        <v>0</v>
      </c>
      <c r="V97" s="1">
        <f>IF(V$4&lt;=核心参数输入!$B$9,MAX(0,V95+运营成本与税费!V105)*核心参数输入!$B$52,0)</f>
        <v>0</v>
      </c>
      <c r="W97" s="1">
        <f>IF(W$4&lt;=核心参数输入!$B$9,MAX(0,W95+运营成本与税费!W105)*核心参数输入!$B$52,0)</f>
        <v>0</v>
      </c>
      <c r="X97" s="1">
        <f>IF(X$4&lt;=核心参数输入!$B$9,MAX(0,X95+运营成本与税费!X105)*核心参数输入!$B$52,0)</f>
        <v>3.2357824550521173</v>
      </c>
      <c r="Y97" s="1">
        <f>IF(Y$4&lt;=核心参数输入!$B$9,MAX(0,Y95+运营成本与税费!Y105)*核心参数输入!$B$52,0)</f>
        <v>0</v>
      </c>
      <c r="Z97" s="1">
        <f>IF(Z$4&lt;=核心参数输入!$B$9,MAX(0,Z95+运营成本与税费!Z105)*核心参数输入!$B$52,0)</f>
        <v>0</v>
      </c>
      <c r="AA97" s="1">
        <f>IF(AA$4&lt;=核心参数输入!$B$9,MAX(0,AA95+运营成本与税费!AA105)*核心参数输入!$B$52,0)</f>
        <v>0</v>
      </c>
      <c r="AB97" s="1">
        <f>IF(AB$4&lt;=核心参数输入!$B$9,MAX(0,AB95+运营成本与税费!AB105)*核心参数输入!$B$52,0)</f>
        <v>0</v>
      </c>
      <c r="AC97" s="1">
        <f>IF(AC$4&lt;=核心参数输入!$B$9,MAX(0,AC95+运营成本与税费!AC105)*核心参数输入!$B$52,0)</f>
        <v>0</v>
      </c>
      <c r="AD97" s="1">
        <f>IF(AD$4&lt;=核心参数输入!$B$9,MAX(0,AD95+运营成本与税费!AD105)*核心参数输入!$B$52,0)</f>
        <v>0</v>
      </c>
      <c r="AE97" s="1">
        <f>IF(AE$4&lt;=核心参数输入!$B$9,MAX(0,AE95+运营成本与税费!AE105)*核心参数输入!$B$52,0)</f>
        <v>0</v>
      </c>
      <c r="AF97" s="1">
        <f>IF(AF$4&lt;=核心参数输入!$B$9,MAX(0,AF95+运营成本与税费!AF105)*核心参数输入!$B$52,0)</f>
        <v>0</v>
      </c>
      <c r="AG97" s="1">
        <f>IF(AG$4&lt;=核心参数输入!$B$9,MAX(0,AG95+运营成本与税费!AG105)*核心参数输入!$B$52,0)</f>
        <v>0</v>
      </c>
      <c r="AH97" s="1">
        <f>IF(AH$4&lt;=核心参数输入!$B$9,MAX(0,AH95+运营成本与税费!AH105)*核心参数输入!$B$52,0)</f>
        <v>0</v>
      </c>
    </row>
    <row r="98" spans="1:34" ht="21" customHeight="1">
      <c r="A98" s="11" t="s">
        <v>264</v>
      </c>
      <c r="B98" s="11" t="s">
        <v>54</v>
      </c>
      <c r="D98" s="1">
        <f>IF(D$4&lt;=核心参数输入!$B$9,D95+运营成本与税费!D105-D97,0)</f>
        <v>0</v>
      </c>
      <c r="E98" s="1">
        <f>IF(E$4&lt;=核心参数输入!$B$9,E95+运营成本与税费!E105-E97,0)</f>
        <v>0</v>
      </c>
      <c r="F98" s="1">
        <f>IF(F$4&lt;=核心参数输入!$B$9,F95+运营成本与税费!F105-F97,0)</f>
        <v>0</v>
      </c>
      <c r="G98" s="1">
        <f>IF(G$4&lt;=核心参数输入!$B$9,G95+运营成本与税费!G105-G97,0)</f>
        <v>0</v>
      </c>
      <c r="H98" s="1">
        <f>IF(H$4&lt;=核心参数输入!$B$9,H95+运营成本与税费!H105-H97,0)</f>
        <v>-1648.8392097600031</v>
      </c>
      <c r="I98" s="1">
        <f>IF(I$4&lt;=核心参数输入!$B$9,I95+运营成本与税费!I105-I97,0)</f>
        <v>-961.18739001590109</v>
      </c>
      <c r="J98" s="1">
        <f>IF(J$4&lt;=核心参数输入!$B$9,J95+运营成本与税费!J105-J97,0)</f>
        <v>-676.2215629402275</v>
      </c>
      <c r="K98" s="1">
        <f>IF(K$4&lt;=核心参数输入!$B$9,K95+运营成本与税费!K105-K97,0)</f>
        <v>-799.53495636557386</v>
      </c>
      <c r="L98" s="1">
        <f>IF(L$4&lt;=核心参数输入!$B$9,L95+运营成本与税费!L105-L97,0)</f>
        <v>-589.02679723028064</v>
      </c>
      <c r="M98" s="1">
        <f>IF(M$4&lt;=核心参数输入!$B$9,M95+运营成本与税费!M105-M97,0)</f>
        <v>-397.18904492873457</v>
      </c>
      <c r="N98" s="1">
        <f>IF(N$4&lt;=核心参数输入!$B$9,N95+运营成本与税费!N105-N97,0)</f>
        <v>-205.20619930746619</v>
      </c>
      <c r="O98" s="1">
        <f>IF(O$4&lt;=核心参数输入!$B$9,O95+运营成本与税费!O105-O97,0)</f>
        <v>-103.07673342597423</v>
      </c>
      <c r="P98" s="1">
        <f>IF(P$4&lt;=核心参数输入!$B$9,P95+运营成本与税费!P105-P97,0)</f>
        <v>-90.799110428838048</v>
      </c>
      <c r="Q98" s="1">
        <f>IF(Q$4&lt;=核心参数输入!$B$9,Q95+运营成本与税费!Q105-Q97,0)</f>
        <v>-78.371783656774028</v>
      </c>
      <c r="R98" s="1">
        <f>IF(R$4&lt;=核心参数输入!$B$9,R95+运营成本与税费!R105-R97,0)</f>
        <v>-65.793196764559411</v>
      </c>
      <c r="S98" s="1">
        <f>IF(S$4&lt;=核心参数输入!$B$9,S95+运营成本与税费!S105-S97,0)</f>
        <v>-53.061783846020148</v>
      </c>
      <c r="T98" s="1">
        <f>IF(T$4&lt;=核心参数输入!$B$9,T95+运营成本与税费!T105-T97,0)</f>
        <v>-40.175969566302911</v>
      </c>
      <c r="U98" s="1">
        <f>IF(U$4&lt;=核心参数输入!$B$9,U95+运营成本与税费!U105-U97,0)</f>
        <v>-27.134169301640895</v>
      </c>
      <c r="V98" s="1">
        <f>IF(V$4&lt;=核心参数输入!$B$9,V95+运营成本与税费!V105-V97,0)</f>
        <v>-13.934789286846694</v>
      </c>
      <c r="W98" s="1">
        <f>IF(W$4&lt;=核心参数输入!$B$9,W95+运营成本与税费!W105-W97,0)</f>
        <v>-0.57622677074380135</v>
      </c>
      <c r="X98" s="1">
        <f>IF(X$4&lt;=核心参数输入!$B$9,X95+运营成本与税费!X105-X97,0)</f>
        <v>9.7073473651563518</v>
      </c>
      <c r="Y98" s="1">
        <f>IF(Y$4&lt;=核心参数输入!$B$9,Y95+运营成本与税费!Y105-Y97,0)</f>
        <v>0</v>
      </c>
      <c r="Z98" s="1">
        <f>IF(Z$4&lt;=核心参数输入!$B$9,Z95+运营成本与税费!Z105-Z97,0)</f>
        <v>0</v>
      </c>
      <c r="AA98" s="1">
        <f>IF(AA$4&lt;=核心参数输入!$B$9,AA95+运营成本与税费!AA105-AA97,0)</f>
        <v>0</v>
      </c>
      <c r="AB98" s="1">
        <f>IF(AB$4&lt;=核心参数输入!$B$9,AB95+运营成本与税费!AB105-AB97,0)</f>
        <v>0</v>
      </c>
      <c r="AC98" s="1">
        <f>IF(AC$4&lt;=核心参数输入!$B$9,AC95+运营成本与税费!AC105-AC97,0)</f>
        <v>0</v>
      </c>
      <c r="AD98" s="1">
        <f>IF(AD$4&lt;=核心参数输入!$B$9,AD95+运营成本与税费!AD105-AD97,0)</f>
        <v>0</v>
      </c>
      <c r="AE98" s="1">
        <f>IF(AE$4&lt;=核心参数输入!$B$9,AE95+运营成本与税费!AE105-AE97,0)</f>
        <v>0</v>
      </c>
      <c r="AF98" s="1">
        <f>IF(AF$4&lt;=核心参数输入!$B$9,AF95+运营成本与税费!AF105-AF97,0)</f>
        <v>0</v>
      </c>
      <c r="AG98" s="1">
        <f>IF(AG$4&lt;=核心参数输入!$B$9,AG95+运营成本与税费!AG105-AG97,0)</f>
        <v>0</v>
      </c>
      <c r="AH98" s="1">
        <f>IF(AH$4&lt;=核心参数输入!$B$9,AH95+运营成本与税费!AH105-AH97,0)</f>
        <v>0</v>
      </c>
    </row>
    <row r="99" spans="1:34" ht="21" customHeight="1">
      <c r="A99" s="11" t="s">
        <v>265</v>
      </c>
      <c r="B99" s="11" t="s">
        <v>54</v>
      </c>
      <c r="D99" s="1">
        <f>IF(D$4&lt;=核心参数输入!$B$9,D90-D91-MAX(0,D95)*核心参数输入!$B$52,0)</f>
        <v>0</v>
      </c>
      <c r="E99" s="1">
        <f>IF(E$4&lt;=核心参数输入!$B$9,E90-E91-MAX(0,E95)*核心参数输入!$B$52,0)</f>
        <v>0</v>
      </c>
      <c r="F99" s="1">
        <f>IF(F$4&lt;=核心参数输入!$B$9,F90-F91-MAX(0,F95)*核心参数输入!$B$52,0)</f>
        <v>0</v>
      </c>
      <c r="G99" s="1">
        <f>IF(G$4&lt;=核心参数输入!$B$9,G90-G91-MAX(0,G95)*核心参数输入!$B$52,0)</f>
        <v>0</v>
      </c>
      <c r="H99" s="1">
        <f>IF(H$4&lt;=核心参数输入!$B$9,H90-H91-MAX(0,H95)*核心参数输入!$B$52,0)</f>
        <v>11614.444290239999</v>
      </c>
      <c r="I99" s="1">
        <f>IF(I$4&lt;=核心参数输入!$B$9,I90-I91-MAX(0,I95)*核心参数输入!$B$52,0)</f>
        <v>15867.706109984101</v>
      </c>
      <c r="J99" s="1">
        <f>IF(J$4&lt;=核心参数输入!$B$9,J90-J91-MAX(0,J95)*核心参数输入!$B$52,0)</f>
        <v>12227.061937059774</v>
      </c>
      <c r="K99" s="1">
        <f>IF(K$4&lt;=核心参数输入!$B$9,K90-K91-MAX(0,K95)*核心参数输入!$B$52,0)</f>
        <v>686.91854363442599</v>
      </c>
      <c r="L99" s="1">
        <f>IF(L$4&lt;=核心参数输入!$B$9,L90-L91-MAX(0,L95)*核心参数输入!$B$52,0)</f>
        <v>717.42670276971921</v>
      </c>
      <c r="M99" s="1">
        <f>IF(M$4&lt;=核心参数输入!$B$9,M90-M91-MAX(0,M95)*核心参数输入!$B$52,0)</f>
        <v>729.26445507126516</v>
      </c>
      <c r="N99" s="1">
        <f>IF(N$4&lt;=核心参数输入!$B$9,N90-N91-MAX(0,N95)*核心参数输入!$B$52,0)</f>
        <v>741.2473006925336</v>
      </c>
      <c r="O99" s="1">
        <f>IF(O$4&lt;=核心参数输入!$B$9,O90-O91-MAX(0,O95)*核心参数输入!$B$52,0)</f>
        <v>753.37676657402562</v>
      </c>
      <c r="P99" s="1">
        <f>IF(P$4&lt;=核心参数输入!$B$9,P90-P91-MAX(0,P95)*核心参数输入!$B$52,0)</f>
        <v>765.6543895711618</v>
      </c>
      <c r="Q99" s="1">
        <f>IF(Q$4&lt;=核心参数输入!$B$9,Q90-Q91-MAX(0,Q95)*核心参数输入!$B$52,0)</f>
        <v>778.08171634322582</v>
      </c>
      <c r="R99" s="1">
        <f>IF(R$4&lt;=核心参数输入!$B$9,R90-R91-MAX(0,R95)*核心参数输入!$B$52,0)</f>
        <v>790.66030323544044</v>
      </c>
      <c r="S99" s="1">
        <f>IF(S$4&lt;=核心参数输入!$B$9,S90-S91-MAX(0,S95)*核心参数输入!$B$52,0)</f>
        <v>803.3917161539797</v>
      </c>
      <c r="T99" s="1">
        <f>IF(T$4&lt;=核心参数输入!$B$9,T90-T91-MAX(0,T95)*核心参数输入!$B$52,0)</f>
        <v>816.27753043369694</v>
      </c>
      <c r="U99" s="1">
        <f>IF(U$4&lt;=核心参数输入!$B$9,U90-U91-MAX(0,U95)*核心参数输入!$B$52,0)</f>
        <v>829.31933069835895</v>
      </c>
      <c r="V99" s="1">
        <f>IF(V$4&lt;=核心参数输入!$B$9,V90-V91-MAX(0,V95)*核心参数输入!$B$52,0)</f>
        <v>842.51871071315315</v>
      </c>
      <c r="W99" s="1">
        <f>IF(W$4&lt;=核心参数输入!$B$9,W90-W91-MAX(0,W95)*核心参数输入!$B$52,0)</f>
        <v>855.87727322925605</v>
      </c>
      <c r="X99" s="1">
        <f>IF(X$4&lt;=核心参数输入!$B$9,X90-X91-MAX(0,X95)*核心参数输入!$B$52,0)</f>
        <v>866.1608473651562</v>
      </c>
      <c r="Y99" s="1">
        <f>IF(Y$4&lt;=核心参数输入!$B$9,Y90-Y91-MAX(0,Y95)*核心参数输入!$B$52,0)</f>
        <v>0</v>
      </c>
      <c r="Z99" s="1">
        <f>IF(Z$4&lt;=核心参数输入!$B$9,Z90-Z91-MAX(0,Z95)*核心参数输入!$B$52,0)</f>
        <v>0</v>
      </c>
      <c r="AA99" s="1">
        <f>IF(AA$4&lt;=核心参数输入!$B$9,AA90-AA91-MAX(0,AA95)*核心参数输入!$B$52,0)</f>
        <v>0</v>
      </c>
      <c r="AB99" s="1">
        <f>IF(AB$4&lt;=核心参数输入!$B$9,AB90-AB91-MAX(0,AB95)*核心参数输入!$B$52,0)</f>
        <v>0</v>
      </c>
      <c r="AC99" s="1">
        <f>IF(AC$4&lt;=核心参数输入!$B$9,AC90-AC91-MAX(0,AC95)*核心参数输入!$B$52,0)</f>
        <v>0</v>
      </c>
      <c r="AD99" s="1">
        <f>IF(AD$4&lt;=核心参数输入!$B$9,AD90-AD91-MAX(0,AD95)*核心参数输入!$B$52,0)</f>
        <v>0</v>
      </c>
      <c r="AE99" s="1">
        <f>IF(AE$4&lt;=核心参数输入!$B$9,AE90-AE91-MAX(0,AE95)*核心参数输入!$B$52,0)</f>
        <v>0</v>
      </c>
      <c r="AF99" s="1">
        <f>IF(AF$4&lt;=核心参数输入!$B$9,AF90-AF91-MAX(0,AF95)*核心参数输入!$B$52,0)</f>
        <v>0</v>
      </c>
      <c r="AG99" s="1">
        <f>IF(AG$4&lt;=核心参数输入!$B$9,AG90-AG91-MAX(0,AG95)*核心参数输入!$B$52,0)</f>
        <v>0</v>
      </c>
      <c r="AH99" s="1">
        <f>IF(AH$4&lt;=核心参数输入!$B$9,AH90-AH91-MAX(0,AH95)*核心参数输入!$B$52,0)</f>
        <v>0</v>
      </c>
    </row>
    <row r="100" spans="1:34" ht="21" customHeight="1">
      <c r="A100" s="11" t="s">
        <v>266</v>
      </c>
      <c r="B100" s="11" t="s">
        <v>54</v>
      </c>
      <c r="D100" s="1">
        <f>IF(D$4&lt;=核心参数输入!$B$9,D90-D91-MAX(0,D92)*核心参数输入!$B$52,0)</f>
        <v>0</v>
      </c>
      <c r="E100" s="1">
        <f>IF(E$4&lt;=核心参数输入!$B$9,E90-E91-MAX(0,E92)*核心参数输入!$B$52,0)</f>
        <v>0</v>
      </c>
      <c r="F100" s="1">
        <f>IF(F$4&lt;=核心参数输入!$B$9,F90-F91-MAX(0,F92)*核心参数输入!$B$52,0)</f>
        <v>0</v>
      </c>
      <c r="G100" s="1">
        <f>IF(G$4&lt;=核心参数输入!$B$9,G90-G91-MAX(0,G92)*核心参数输入!$B$52,0)</f>
        <v>0</v>
      </c>
      <c r="H100" s="1">
        <f>IF(H$4&lt;=核心参数输入!$B$9,H90-H91-MAX(0,H92)*核心参数输入!$B$52,0)</f>
        <v>11614.444290239999</v>
      </c>
      <c r="I100" s="1">
        <f>IF(I$4&lt;=核心参数输入!$B$9,I90-I91-MAX(0,I92)*核心参数输入!$B$52,0)</f>
        <v>15749.819832488076</v>
      </c>
      <c r="J100" s="1">
        <f>IF(J$4&lt;=核心参数输入!$B$9,J90-J91-MAX(0,J92)*核心参数输入!$B$52,0)</f>
        <v>12108.921702794831</v>
      </c>
      <c r="K100" s="1">
        <f>IF(K$4&lt;=核心参数输入!$B$9,K90-K91-MAX(0,K92)*核心参数输入!$B$52,0)</f>
        <v>686.91854363442599</v>
      </c>
      <c r="L100" s="1">
        <f>IF(L$4&lt;=核心参数输入!$B$9,L90-L91-MAX(0,L92)*核心参数输入!$B$52,0)</f>
        <v>717.42670276971921</v>
      </c>
      <c r="M100" s="1">
        <f>IF(M$4&lt;=核心参数输入!$B$9,M90-M91-MAX(0,M92)*核心参数输入!$B$52,0)</f>
        <v>729.26445507126516</v>
      </c>
      <c r="N100" s="1">
        <f>IF(N$4&lt;=核心参数输入!$B$9,N90-N91-MAX(0,N92)*核心参数输入!$B$52,0)</f>
        <v>741.2473006925336</v>
      </c>
      <c r="O100" s="1">
        <f>IF(O$4&lt;=核心参数输入!$B$9,O90-O91-MAX(0,O92)*核心参数输入!$B$52,0)</f>
        <v>753.37676657402562</v>
      </c>
      <c r="P100" s="1">
        <f>IF(P$4&lt;=核心参数输入!$B$9,P90-P91-MAX(0,P92)*核心参数输入!$B$52,0)</f>
        <v>765.6543895711618</v>
      </c>
      <c r="Q100" s="1">
        <f>IF(Q$4&lt;=核心参数输入!$B$9,Q90-Q91-MAX(0,Q92)*核心参数输入!$B$52,0)</f>
        <v>778.08171634322582</v>
      </c>
      <c r="R100" s="1">
        <f>IF(R$4&lt;=核心参数输入!$B$9,R90-R91-MAX(0,R92)*核心参数输入!$B$52,0)</f>
        <v>790.66030323544044</v>
      </c>
      <c r="S100" s="1">
        <f>IF(S$4&lt;=核心参数输入!$B$9,S90-S91-MAX(0,S92)*核心参数输入!$B$52,0)</f>
        <v>803.3917161539797</v>
      </c>
      <c r="T100" s="1">
        <f>IF(T$4&lt;=核心参数输入!$B$9,T90-T91-MAX(0,T92)*核心参数输入!$B$52,0)</f>
        <v>816.27753043369694</v>
      </c>
      <c r="U100" s="1">
        <f>IF(U$4&lt;=核心参数输入!$B$9,U90-U91-MAX(0,U92)*核心参数输入!$B$52,0)</f>
        <v>829.31933069835895</v>
      </c>
      <c r="V100" s="1">
        <f>IF(V$4&lt;=核心参数输入!$B$9,V90-V91-MAX(0,V92)*核心参数输入!$B$52,0)</f>
        <v>839.26928303486488</v>
      </c>
      <c r="W100" s="1">
        <f>IF(W$4&lt;=核心参数输入!$B$9,W90-W91-MAX(0,W92)*核心参数输入!$B$52,0)</f>
        <v>849.288204921942</v>
      </c>
      <c r="X100" s="1">
        <f>IF(X$4&lt;=核心参数输入!$B$9,X90-X91-MAX(0,X92)*核心参数输入!$B$52,0)</f>
        <v>859.42772236515623</v>
      </c>
      <c r="Y100" s="1">
        <f>IF(Y$4&lt;=核心参数输入!$B$9,Y90-Y91-MAX(0,Y92)*核心参数输入!$B$52,0)</f>
        <v>0</v>
      </c>
      <c r="Z100" s="1">
        <f>IF(Z$4&lt;=核心参数输入!$B$9,Z90-Z91-MAX(0,Z92)*核心参数输入!$B$52,0)</f>
        <v>0</v>
      </c>
      <c r="AA100" s="1">
        <f>IF(AA$4&lt;=核心参数输入!$B$9,AA90-AA91-MAX(0,AA92)*核心参数输入!$B$52,0)</f>
        <v>0</v>
      </c>
      <c r="AB100" s="1">
        <f>IF(AB$4&lt;=核心参数输入!$B$9,AB90-AB91-MAX(0,AB92)*核心参数输入!$B$52,0)</f>
        <v>0</v>
      </c>
      <c r="AC100" s="1">
        <f>IF(AC$4&lt;=核心参数输入!$B$9,AC90-AC91-MAX(0,AC92)*核心参数输入!$B$52,0)</f>
        <v>0</v>
      </c>
      <c r="AD100" s="1">
        <f>IF(AD$4&lt;=核心参数输入!$B$9,AD90-AD91-MAX(0,AD92)*核心参数输入!$B$52,0)</f>
        <v>0</v>
      </c>
      <c r="AE100" s="1">
        <f>IF(AE$4&lt;=核心参数输入!$B$9,AE90-AE91-MAX(0,AE92)*核心参数输入!$B$52,0)</f>
        <v>0</v>
      </c>
      <c r="AF100" s="1">
        <f>IF(AF$4&lt;=核心参数输入!$B$9,AF90-AF91-MAX(0,AF92)*核心参数输入!$B$52,0)</f>
        <v>0</v>
      </c>
      <c r="AG100" s="1">
        <f>IF(AG$4&lt;=核心参数输入!$B$9,AG90-AG91-MAX(0,AG92)*核心参数输入!$B$52,0)</f>
        <v>0</v>
      </c>
      <c r="AH100" s="1">
        <f>IF(AH$4&lt;=核心参数输入!$B$9,AH90-AH91-MAX(0,AH92)*核心参数输入!$B$52,0)</f>
        <v>0</v>
      </c>
    </row>
    <row r="101" spans="1:34" ht="21" customHeight="1">
      <c r="A101" s="11" t="s">
        <v>267</v>
      </c>
      <c r="B101" s="11" t="s">
        <v>54</v>
      </c>
      <c r="D101" s="1">
        <f>IF(D$4&lt;=核心参数输入!$B$9,投资与资金安排!D108,0)</f>
        <v>8000</v>
      </c>
      <c r="E101" s="1">
        <f>IF(E$4&lt;=核心参数输入!$B$9,投资与资金安排!E108,0)</f>
        <v>0</v>
      </c>
      <c r="F101" s="1">
        <f>IF(F$4&lt;=核心参数输入!$B$9,投资与资金安排!F108,0)</f>
        <v>0</v>
      </c>
      <c r="G101" s="1">
        <f>IF(G$4&lt;=核心参数输入!$B$9,投资与资金安排!G108,0)</f>
        <v>0</v>
      </c>
      <c r="H101" s="1">
        <f>IF(H$4&lt;=核心参数输入!$B$9,投资与资金安排!H108,0)</f>
        <v>0</v>
      </c>
      <c r="I101" s="1">
        <f>IF(I$4&lt;=核心参数输入!$B$9,投资与资金安排!I108,0)</f>
        <v>0</v>
      </c>
      <c r="J101" s="1">
        <f>IF(J$4&lt;=核心参数输入!$B$9,投资与资金安排!J108,0)</f>
        <v>0</v>
      </c>
      <c r="K101" s="1">
        <f>IF(K$4&lt;=核心参数输入!$B$9,投资与资金安排!K108,0)</f>
        <v>0</v>
      </c>
      <c r="L101" s="1">
        <f>IF(L$4&lt;=核心参数输入!$B$9,投资与资金安排!L108,0)</f>
        <v>0</v>
      </c>
      <c r="M101" s="1">
        <f>IF(M$4&lt;=核心参数输入!$B$9,投资与资金安排!M108,0)</f>
        <v>0</v>
      </c>
      <c r="N101" s="1">
        <f>IF(N$4&lt;=核心参数输入!$B$9,投资与资金安排!N108,0)</f>
        <v>0</v>
      </c>
      <c r="O101" s="1">
        <f>IF(O$4&lt;=核心参数输入!$B$9,投资与资金安排!O108,0)</f>
        <v>0</v>
      </c>
      <c r="P101" s="1">
        <f>IF(P$4&lt;=核心参数输入!$B$9,投资与资金安排!P108,0)</f>
        <v>0</v>
      </c>
      <c r="Q101" s="1">
        <f>IF(Q$4&lt;=核心参数输入!$B$9,投资与资金安排!Q108,0)</f>
        <v>0</v>
      </c>
      <c r="R101" s="1">
        <f>IF(R$4&lt;=核心参数输入!$B$9,投资与资金安排!R108,0)</f>
        <v>0</v>
      </c>
      <c r="S101" s="1">
        <f>IF(S$4&lt;=核心参数输入!$B$9,投资与资金安排!S108,0)</f>
        <v>0</v>
      </c>
      <c r="T101" s="1">
        <f>IF(T$4&lt;=核心参数输入!$B$9,投资与资金安排!T108,0)</f>
        <v>0</v>
      </c>
      <c r="U101" s="1">
        <f>IF(U$4&lt;=核心参数输入!$B$9,投资与资金安排!U108,0)</f>
        <v>0</v>
      </c>
      <c r="V101" s="1">
        <f>IF(V$4&lt;=核心参数输入!$B$9,投资与资金安排!V108,0)</f>
        <v>0</v>
      </c>
      <c r="W101" s="1">
        <f>IF(W$4&lt;=核心参数输入!$B$9,投资与资金安排!W108,0)</f>
        <v>0</v>
      </c>
      <c r="X101" s="1">
        <f>IF(X$4&lt;=核心参数输入!$B$9,投资与资金安排!X108,0)</f>
        <v>0</v>
      </c>
      <c r="Y101" s="1">
        <f>IF(Y$4&lt;=核心参数输入!$B$9,投资与资金安排!Y108,0)</f>
        <v>0</v>
      </c>
      <c r="Z101" s="1">
        <f>IF(Z$4&lt;=核心参数输入!$B$9,投资与资金安排!Z108,0)</f>
        <v>0</v>
      </c>
      <c r="AA101" s="1">
        <f>IF(AA$4&lt;=核心参数输入!$B$9,投资与资金安排!AA108,0)</f>
        <v>0</v>
      </c>
      <c r="AB101" s="1">
        <f>IF(AB$4&lt;=核心参数输入!$B$9,投资与资金安排!AB108,0)</f>
        <v>0</v>
      </c>
      <c r="AC101" s="1">
        <f>IF(AC$4&lt;=核心参数输入!$B$9,投资与资金安排!AC108,0)</f>
        <v>0</v>
      </c>
      <c r="AD101" s="1">
        <f>IF(AD$4&lt;=核心参数输入!$B$9,投资与资金安排!AD108,0)</f>
        <v>0</v>
      </c>
      <c r="AE101" s="1">
        <f>IF(AE$4&lt;=核心参数输入!$B$9,投资与资金安排!AE108,0)</f>
        <v>0</v>
      </c>
      <c r="AF101" s="1">
        <f>IF(AF$4&lt;=核心参数输入!$B$9,投资与资金安排!AF108,0)</f>
        <v>0</v>
      </c>
      <c r="AG101" s="1">
        <f>IF(AG$4&lt;=核心参数输入!$B$9,投资与资金安排!AG108,0)</f>
        <v>0</v>
      </c>
      <c r="AH101" s="1">
        <f>IF(AH$4&lt;=核心参数输入!$B$9,投资与资金安排!AH108,0)</f>
        <v>0</v>
      </c>
    </row>
    <row r="102" spans="1:34" ht="21" customHeight="1">
      <c r="A102" s="11" t="s">
        <v>200</v>
      </c>
      <c r="B102" s="11" t="s">
        <v>54</v>
      </c>
      <c r="D102" s="1">
        <f>IF(D$4&lt;=核心参数输入!$B$9,投资与资金安排!D109,0)</f>
        <v>0</v>
      </c>
      <c r="E102" s="1">
        <f>IF(E$4&lt;=核心参数输入!$B$9,投资与资金安排!E109,0)</f>
        <v>17463.599999999999</v>
      </c>
      <c r="F102" s="1">
        <f>IF(F$4&lt;=核心参数输入!$B$9,投资与资金安排!F109,0)</f>
        <v>23284.800000000003</v>
      </c>
      <c r="G102" s="1">
        <f>IF(G$4&lt;=核心参数输入!$B$9,投资与资金安排!G109,0)</f>
        <v>17463.599999999999</v>
      </c>
      <c r="H102" s="1">
        <f>IF(H$4&lt;=核心参数输入!$B$9,投资与资金安排!H109,0)</f>
        <v>0</v>
      </c>
      <c r="I102" s="1">
        <f>IF(I$4&lt;=核心参数输入!$B$9,投资与资金安排!I109,0)</f>
        <v>0</v>
      </c>
      <c r="J102" s="1">
        <f>IF(J$4&lt;=核心参数输入!$B$9,投资与资金安排!J109,0)</f>
        <v>0</v>
      </c>
      <c r="K102" s="1">
        <f>IF(K$4&lt;=核心参数输入!$B$9,投资与资金安排!K109,0)</f>
        <v>0</v>
      </c>
      <c r="L102" s="1">
        <f>IF(L$4&lt;=核心参数输入!$B$9,投资与资金安排!L109,0)</f>
        <v>0</v>
      </c>
      <c r="M102" s="1">
        <f>IF(M$4&lt;=核心参数输入!$B$9,投资与资金安排!M109,0)</f>
        <v>0</v>
      </c>
      <c r="N102" s="1">
        <f>IF(N$4&lt;=核心参数输入!$B$9,投资与资金安排!N109,0)</f>
        <v>0</v>
      </c>
      <c r="O102" s="1">
        <f>IF(O$4&lt;=核心参数输入!$B$9,投资与资金安排!O109,0)</f>
        <v>0</v>
      </c>
      <c r="P102" s="1">
        <f>IF(P$4&lt;=核心参数输入!$B$9,投资与资金安排!P109,0)</f>
        <v>0</v>
      </c>
      <c r="Q102" s="1">
        <f>IF(Q$4&lt;=核心参数输入!$B$9,投资与资金安排!Q109,0)</f>
        <v>0</v>
      </c>
      <c r="R102" s="1">
        <f>IF(R$4&lt;=核心参数输入!$B$9,投资与资金安排!R109,0)</f>
        <v>0</v>
      </c>
      <c r="S102" s="1">
        <f>IF(S$4&lt;=核心参数输入!$B$9,投资与资金安排!S109,0)</f>
        <v>0</v>
      </c>
      <c r="T102" s="1">
        <f>IF(T$4&lt;=核心参数输入!$B$9,投资与资金安排!T109,0)</f>
        <v>0</v>
      </c>
      <c r="U102" s="1">
        <f>IF(U$4&lt;=核心参数输入!$B$9,投资与资金安排!U109,0)</f>
        <v>0</v>
      </c>
      <c r="V102" s="1">
        <f>IF(V$4&lt;=核心参数输入!$B$9,投资与资金安排!V109,0)</f>
        <v>0</v>
      </c>
      <c r="W102" s="1">
        <f>IF(W$4&lt;=核心参数输入!$B$9,投资与资金安排!W109,0)</f>
        <v>0</v>
      </c>
      <c r="X102" s="1">
        <f>IF(X$4&lt;=核心参数输入!$B$9,投资与资金安排!X109,0)</f>
        <v>0</v>
      </c>
      <c r="Y102" s="1">
        <f>IF(Y$4&lt;=核心参数输入!$B$9,投资与资金安排!Y109,0)</f>
        <v>0</v>
      </c>
      <c r="Z102" s="1">
        <f>IF(Z$4&lt;=核心参数输入!$B$9,投资与资金安排!Z109,0)</f>
        <v>0</v>
      </c>
      <c r="AA102" s="1">
        <f>IF(AA$4&lt;=核心参数输入!$B$9,投资与资金安排!AA109,0)</f>
        <v>0</v>
      </c>
      <c r="AB102" s="1">
        <f>IF(AB$4&lt;=核心参数输入!$B$9,投资与资金安排!AB109,0)</f>
        <v>0</v>
      </c>
      <c r="AC102" s="1">
        <f>IF(AC$4&lt;=核心参数输入!$B$9,投资与资金安排!AC109,0)</f>
        <v>0</v>
      </c>
      <c r="AD102" s="1">
        <f>IF(AD$4&lt;=核心参数输入!$B$9,投资与资金安排!AD109,0)</f>
        <v>0</v>
      </c>
      <c r="AE102" s="1">
        <f>IF(AE$4&lt;=核心参数输入!$B$9,投资与资金安排!AE109,0)</f>
        <v>0</v>
      </c>
      <c r="AF102" s="1">
        <f>IF(AF$4&lt;=核心参数输入!$B$9,投资与资金安排!AF109,0)</f>
        <v>0</v>
      </c>
      <c r="AG102" s="1">
        <f>IF(AG$4&lt;=核心参数输入!$B$9,投资与资金安排!AG109,0)</f>
        <v>0</v>
      </c>
      <c r="AH102" s="1">
        <f>IF(AH$4&lt;=核心参数输入!$B$9,投资与资金安排!AH109,0)</f>
        <v>0</v>
      </c>
    </row>
    <row r="103" spans="1:34" ht="21" customHeight="1">
      <c r="A103" s="11" t="s">
        <v>268</v>
      </c>
      <c r="B103" s="11" t="s">
        <v>54</v>
      </c>
      <c r="D103" s="1">
        <f>IF(D$4&lt;=核心参数输入!$B$9,投资与资金安排!D111,0)</f>
        <v>0</v>
      </c>
      <c r="E103" s="1">
        <f>IF(E$4&lt;=核心参数输入!$B$9,投资与资金安排!E111,0)</f>
        <v>0</v>
      </c>
      <c r="F103" s="1">
        <f>IF(F$4&lt;=核心参数输入!$B$9,投资与资金安排!F111,0)</f>
        <v>0</v>
      </c>
      <c r="G103" s="1">
        <f>IF(G$4&lt;=核心参数输入!$B$9,投资与资金安排!G111,0)</f>
        <v>0</v>
      </c>
      <c r="H103" s="1">
        <f>IF(H$4&lt;=核心参数输入!$B$9,投资与资金安排!H111,0)</f>
        <v>500</v>
      </c>
      <c r="I103" s="1">
        <f>IF(I$4&lt;=核心参数输入!$B$9,投资与资金安排!I111,0)</f>
        <v>0</v>
      </c>
      <c r="J103" s="1">
        <f>IF(J$4&lt;=核心参数输入!$B$9,投资与资金安排!J111,0)</f>
        <v>0</v>
      </c>
      <c r="K103" s="1">
        <f>IF(K$4&lt;=核心参数输入!$B$9,投资与资金安排!K111,0)</f>
        <v>0</v>
      </c>
      <c r="L103" s="1">
        <f>IF(L$4&lt;=核心参数输入!$B$9,投资与资金安排!L111,0)</f>
        <v>0</v>
      </c>
      <c r="M103" s="1">
        <f>IF(M$4&lt;=核心参数输入!$B$9,投资与资金安排!M111,0)</f>
        <v>0</v>
      </c>
      <c r="N103" s="1">
        <f>IF(N$4&lt;=核心参数输入!$B$9,投资与资金安排!N111,0)</f>
        <v>0</v>
      </c>
      <c r="O103" s="1">
        <f>IF(O$4&lt;=核心参数输入!$B$9,投资与资金安排!O111,0)</f>
        <v>0</v>
      </c>
      <c r="P103" s="1">
        <f>IF(P$4&lt;=核心参数输入!$B$9,投资与资金安排!P111,0)</f>
        <v>0</v>
      </c>
      <c r="Q103" s="1">
        <f>IF(Q$4&lt;=核心参数输入!$B$9,投资与资金安排!Q111,0)</f>
        <v>0</v>
      </c>
      <c r="R103" s="1">
        <f>IF(R$4&lt;=核心参数输入!$B$9,投资与资金安排!R111,0)</f>
        <v>0</v>
      </c>
      <c r="S103" s="1">
        <f>IF(S$4&lt;=核心参数输入!$B$9,投资与资金安排!S111,0)</f>
        <v>0</v>
      </c>
      <c r="T103" s="1">
        <f>IF(T$4&lt;=核心参数输入!$B$9,投资与资金安排!T111,0)</f>
        <v>0</v>
      </c>
      <c r="U103" s="1">
        <f>IF(U$4&lt;=核心参数输入!$B$9,投资与资金安排!U111,0)</f>
        <v>0</v>
      </c>
      <c r="V103" s="1">
        <f>IF(V$4&lt;=核心参数输入!$B$9,投资与资金安排!V111,0)</f>
        <v>0</v>
      </c>
      <c r="W103" s="1">
        <f>IF(W$4&lt;=核心参数输入!$B$9,投资与资金安排!W111,0)</f>
        <v>0</v>
      </c>
      <c r="X103" s="1">
        <f>IF(X$4&lt;=核心参数输入!$B$9,投资与资金安排!X111,0)</f>
        <v>0</v>
      </c>
      <c r="Y103" s="1">
        <f>IF(Y$4&lt;=核心参数输入!$B$9,投资与资金安排!Y111,0)</f>
        <v>0</v>
      </c>
      <c r="Z103" s="1">
        <f>IF(Z$4&lt;=核心参数输入!$B$9,投资与资金安排!Z111,0)</f>
        <v>0</v>
      </c>
      <c r="AA103" s="1">
        <f>IF(AA$4&lt;=核心参数输入!$B$9,投资与资金安排!AA111,0)</f>
        <v>0</v>
      </c>
      <c r="AB103" s="1">
        <f>IF(AB$4&lt;=核心参数输入!$B$9,投资与资金安排!AB111,0)</f>
        <v>0</v>
      </c>
      <c r="AC103" s="1">
        <f>IF(AC$4&lt;=核心参数输入!$B$9,投资与资金安排!AC111,0)</f>
        <v>0</v>
      </c>
      <c r="AD103" s="1">
        <f>IF(AD$4&lt;=核心参数输入!$B$9,投资与资金安排!AD111,0)</f>
        <v>0</v>
      </c>
      <c r="AE103" s="1">
        <f>IF(AE$4&lt;=核心参数输入!$B$9,投资与资金安排!AE111,0)</f>
        <v>0</v>
      </c>
      <c r="AF103" s="1">
        <f>IF(AF$4&lt;=核心参数输入!$B$9,投资与资金安排!AF111,0)</f>
        <v>0</v>
      </c>
      <c r="AG103" s="1">
        <f>IF(AG$4&lt;=核心参数输入!$B$9,投资与资金安排!AG111,0)</f>
        <v>0</v>
      </c>
      <c r="AH103" s="1">
        <f>IF(AH$4&lt;=核心参数输入!$B$9,投资与资金安排!AH111,0)</f>
        <v>0</v>
      </c>
    </row>
    <row r="104" spans="1:34" ht="21" customHeight="1">
      <c r="A104" s="11" t="s">
        <v>269</v>
      </c>
      <c r="B104" s="11" t="s">
        <v>54</v>
      </c>
      <c r="D104" s="1">
        <f>IF(D$4&lt;=核心参数输入!$B$9,投资与资金安排!D112,0)</f>
        <v>0</v>
      </c>
      <c r="E104" s="1">
        <f>IF(E$4&lt;=核心参数输入!$B$9,投资与资金安排!E112,0)</f>
        <v>0</v>
      </c>
      <c r="F104" s="1">
        <f>IF(F$4&lt;=核心参数输入!$B$9,投资与资金安排!F112,0)</f>
        <v>0</v>
      </c>
      <c r="G104" s="1">
        <f>IF(G$4&lt;=核心参数输入!$B$9,投资与资金安排!G112,0)</f>
        <v>0</v>
      </c>
      <c r="H104" s="1">
        <f>IF(H$4&lt;=核心参数输入!$B$9,投资与资金安排!H112,0)</f>
        <v>0</v>
      </c>
      <c r="I104" s="1">
        <f>IF(I$4&lt;=核心参数输入!$B$9,投资与资金安排!I112,0)</f>
        <v>0</v>
      </c>
      <c r="J104" s="1">
        <f>IF(J$4&lt;=核心参数输入!$B$9,投资与资金安排!J112,0)</f>
        <v>0</v>
      </c>
      <c r="K104" s="1">
        <f>IF(K$4&lt;=核心参数输入!$B$9,投资与资金安排!K112,0)</f>
        <v>0</v>
      </c>
      <c r="L104" s="1">
        <f>IF(L$4&lt;=核心参数输入!$B$9,投资与资金安排!L112,0)</f>
        <v>0</v>
      </c>
      <c r="M104" s="1">
        <f>IF(M$4&lt;=核心参数输入!$B$9,投资与资金安排!M112,0)</f>
        <v>0</v>
      </c>
      <c r="N104" s="1">
        <f>IF(N$4&lt;=核心参数输入!$B$9,投资与资金安排!N112,0)</f>
        <v>0</v>
      </c>
      <c r="O104" s="1">
        <f>IF(O$4&lt;=核心参数输入!$B$9,投资与资金安排!O112,0)</f>
        <v>0</v>
      </c>
      <c r="P104" s="1">
        <f>IF(P$4&lt;=核心参数输入!$B$9,投资与资金安排!P112,0)</f>
        <v>0</v>
      </c>
      <c r="Q104" s="1">
        <f>IF(Q$4&lt;=核心参数输入!$B$9,投资与资金安排!Q112,0)</f>
        <v>0</v>
      </c>
      <c r="R104" s="1">
        <f>IF(R$4&lt;=核心参数输入!$B$9,投资与资金安排!R112,0)</f>
        <v>0</v>
      </c>
      <c r="S104" s="1">
        <f>IF(S$4&lt;=核心参数输入!$B$9,投资与资金安排!S112,0)</f>
        <v>0</v>
      </c>
      <c r="T104" s="1">
        <f>IF(T$4&lt;=核心参数输入!$B$9,投资与资金安排!T112,0)</f>
        <v>0</v>
      </c>
      <c r="U104" s="1">
        <f>IF(U$4&lt;=核心参数输入!$B$9,投资与资金安排!U112,0)</f>
        <v>0</v>
      </c>
      <c r="V104" s="1">
        <f>IF(V$4&lt;=核心参数输入!$B$9,投资与资金安排!V112,0)</f>
        <v>0</v>
      </c>
      <c r="W104" s="1">
        <f>IF(W$4&lt;=核心参数输入!$B$9,投资与资金安排!W112,0)</f>
        <v>0</v>
      </c>
      <c r="X104" s="1">
        <f>IF(X$4&lt;=核心参数输入!$B$9,投资与资金安排!X112,0)</f>
        <v>500</v>
      </c>
      <c r="Y104" s="1">
        <f>IF(Y$4&lt;=核心参数输入!$B$9,投资与资金安排!Y112,0)</f>
        <v>0</v>
      </c>
      <c r="Z104" s="1">
        <f>IF(Z$4&lt;=核心参数输入!$B$9,投资与资金安排!Z112,0)</f>
        <v>0</v>
      </c>
      <c r="AA104" s="1">
        <f>IF(AA$4&lt;=核心参数输入!$B$9,投资与资金安排!AA112,0)</f>
        <v>0</v>
      </c>
      <c r="AB104" s="1">
        <f>IF(AB$4&lt;=核心参数输入!$B$9,投资与资金安排!AB112,0)</f>
        <v>0</v>
      </c>
      <c r="AC104" s="1">
        <f>IF(AC$4&lt;=核心参数输入!$B$9,投资与资金安排!AC112,0)</f>
        <v>0</v>
      </c>
      <c r="AD104" s="1">
        <f>IF(AD$4&lt;=核心参数输入!$B$9,投资与资金安排!AD112,0)</f>
        <v>0</v>
      </c>
      <c r="AE104" s="1">
        <f>IF(AE$4&lt;=核心参数输入!$B$9,投资与资金安排!AE112,0)</f>
        <v>0</v>
      </c>
      <c r="AF104" s="1">
        <f>IF(AF$4&lt;=核心参数输入!$B$9,投资与资金安排!AF112,0)</f>
        <v>0</v>
      </c>
      <c r="AG104" s="1">
        <f>IF(AG$4&lt;=核心参数输入!$B$9,投资与资金安排!AG112,0)</f>
        <v>0</v>
      </c>
      <c r="AH104" s="1">
        <f>IF(AH$4&lt;=核心参数输入!$B$9,投资与资金安排!AH112,0)</f>
        <v>0</v>
      </c>
    </row>
    <row r="105" spans="1:34" ht="21" customHeight="1">
      <c r="A105" s="11" t="s">
        <v>270</v>
      </c>
      <c r="B105" s="11" t="s">
        <v>54</v>
      </c>
      <c r="D105" s="1">
        <f>IF(D$4&lt;=核心参数输入!$B$9,销售与出租收入!D106,0)</f>
        <v>0</v>
      </c>
      <c r="E105" s="1">
        <f>IF(E$4&lt;=核心参数输入!$B$9,销售与出租收入!E106,0)</f>
        <v>0</v>
      </c>
      <c r="F105" s="1">
        <f>IF(F$4&lt;=核心参数输入!$B$9,销售与出租收入!F106,0)</f>
        <v>0</v>
      </c>
      <c r="G105" s="1">
        <f>IF(G$4&lt;=核心参数输入!$B$9,销售与出租收入!G106,0)</f>
        <v>0</v>
      </c>
      <c r="H105" s="1">
        <f>IF(H$4&lt;=核心参数输入!$B$9,销售与出租收入!H106,0)</f>
        <v>0</v>
      </c>
      <c r="I105" s="1">
        <f>IF(I$4&lt;=核心参数输入!$B$9,销售与出租收入!I106,0)</f>
        <v>0</v>
      </c>
      <c r="J105" s="1">
        <f>IF(J$4&lt;=核心参数输入!$B$9,销售与出租收入!J106,0)</f>
        <v>0</v>
      </c>
      <c r="K105" s="1">
        <f>IF(K$4&lt;=核心参数输入!$B$9,销售与出租收入!K106,0)</f>
        <v>0</v>
      </c>
      <c r="L105" s="1">
        <f>IF(L$4&lt;=核心参数输入!$B$9,销售与出租收入!L106,0)</f>
        <v>0</v>
      </c>
      <c r="M105" s="1">
        <f>IF(M$4&lt;=核心参数输入!$B$9,销售与出租收入!M106,0)</f>
        <v>0</v>
      </c>
      <c r="N105" s="1">
        <f>IF(N$4&lt;=核心参数输入!$B$9,销售与出租收入!N106,0)</f>
        <v>0</v>
      </c>
      <c r="O105" s="1">
        <f>IF(O$4&lt;=核心参数输入!$B$9,销售与出租收入!O106,0)</f>
        <v>0</v>
      </c>
      <c r="P105" s="1">
        <f>IF(P$4&lt;=核心参数输入!$B$9,销售与出租收入!P106,0)</f>
        <v>0</v>
      </c>
      <c r="Q105" s="1">
        <f>IF(Q$4&lt;=核心参数输入!$B$9,销售与出租收入!Q106,0)</f>
        <v>0</v>
      </c>
      <c r="R105" s="1">
        <f>IF(R$4&lt;=核心参数输入!$B$9,销售与出租收入!R106,0)</f>
        <v>0</v>
      </c>
      <c r="S105" s="1">
        <f>IF(S$4&lt;=核心参数输入!$B$9,销售与出租收入!S106,0)</f>
        <v>0</v>
      </c>
      <c r="T105" s="1">
        <f>IF(T$4&lt;=核心参数输入!$B$9,销售与出租收入!T106,0)</f>
        <v>0</v>
      </c>
      <c r="U105" s="1">
        <f>IF(U$4&lt;=核心参数输入!$B$9,销售与出租收入!U106,0)</f>
        <v>0</v>
      </c>
      <c r="V105" s="1">
        <f>IF(V$4&lt;=核心参数输入!$B$9,销售与出租收入!V106,0)</f>
        <v>0</v>
      </c>
      <c r="W105" s="1">
        <f>IF(W$4&lt;=核心参数输入!$B$9,销售与出租收入!W106,0)</f>
        <v>0</v>
      </c>
      <c r="X105" s="1">
        <f>IF(X$4&lt;=核心参数输入!$B$9,销售与出租收入!X106,0)</f>
        <v>0</v>
      </c>
      <c r="Y105" s="1">
        <f>IF(Y$4&lt;=核心参数输入!$B$9,销售与出租收入!Y106,0)</f>
        <v>0</v>
      </c>
      <c r="Z105" s="1">
        <f>IF(Z$4&lt;=核心参数输入!$B$9,销售与出租收入!Z106,0)</f>
        <v>0</v>
      </c>
      <c r="AA105" s="1">
        <f>IF(AA$4&lt;=核心参数输入!$B$9,销售与出租收入!AA106,0)</f>
        <v>0</v>
      </c>
      <c r="AB105" s="1">
        <f>IF(AB$4&lt;=核心参数输入!$B$9,销售与出租收入!AB106,0)</f>
        <v>0</v>
      </c>
      <c r="AC105" s="1">
        <f>IF(AC$4&lt;=核心参数输入!$B$9,销售与出租收入!AC106,0)</f>
        <v>0</v>
      </c>
      <c r="AD105" s="1">
        <f>IF(AD$4&lt;=核心参数输入!$B$9,销售与出租收入!AD106,0)</f>
        <v>0</v>
      </c>
      <c r="AE105" s="1">
        <f>IF(AE$4&lt;=核心参数输入!$B$9,销售与出租收入!AE106,0)</f>
        <v>0</v>
      </c>
      <c r="AF105" s="1">
        <f>IF(AF$4&lt;=核心参数输入!$B$9,销售与出租收入!AF106,0)</f>
        <v>0</v>
      </c>
      <c r="AG105" s="1">
        <f>IF(AG$4&lt;=核心参数输入!$B$9,销售与出租收入!AG106,0)</f>
        <v>0</v>
      </c>
      <c r="AH105" s="1">
        <f>IF(AH$4&lt;=核心参数输入!$B$9,销售与出租收入!AH106,0)</f>
        <v>0</v>
      </c>
    </row>
    <row r="106" spans="1:34" ht="21" customHeight="1">
      <c r="A106" s="11" t="s">
        <v>271</v>
      </c>
      <c r="B106" s="11" t="s">
        <v>54</v>
      </c>
      <c r="D106" s="1">
        <f>IF(D$4&lt;=核心参数输入!$B$9,D90-D91-D96-D101-D102-D103+D104+D105,0)</f>
        <v>-8000</v>
      </c>
      <c r="E106" s="1">
        <f>IF(E$4&lt;=核心参数输入!$B$9,E90-E91-E96-E101-E102-E103+E104+E105,0)</f>
        <v>-17463.599999999999</v>
      </c>
      <c r="F106" s="1">
        <f>IF(F$4&lt;=核心参数输入!$B$9,F90-F91-F96-F101-F102-F103+F104+F105,0)</f>
        <v>-23284.800000000003</v>
      </c>
      <c r="G106" s="1">
        <f>IF(G$4&lt;=核心参数输入!$B$9,G90-G91-G96-G101-G102-G103+G104+G105,0)</f>
        <v>-17463.599999999999</v>
      </c>
      <c r="H106" s="1">
        <f>IF(H$4&lt;=核心参数输入!$B$9,H90-H91-H96-H101-H102-H103+H104+H105,0)</f>
        <v>11114.444290239999</v>
      </c>
      <c r="I106" s="1">
        <f>IF(I$4&lt;=核心参数输入!$B$9,I90-I91-I96-I101-I102-I103+I104+I105,0)</f>
        <v>15749.819832488076</v>
      </c>
      <c r="J106" s="1">
        <f>IF(J$4&lt;=核心参数输入!$B$9,J90-J91-J96-J101-J102-J103+J104+J105,0)</f>
        <v>12108.921702794831</v>
      </c>
      <c r="K106" s="1">
        <f>IF(K$4&lt;=核心参数输入!$B$9,K90-K91-K96-K101-K102-K103+K104+K105,0)</f>
        <v>686.91854363442599</v>
      </c>
      <c r="L106" s="1">
        <f>IF(L$4&lt;=核心参数输入!$B$9,L90-L91-L96-L101-L102-L103+L104+L105,0)</f>
        <v>717.42670276971921</v>
      </c>
      <c r="M106" s="1">
        <f>IF(M$4&lt;=核心参数输入!$B$9,M90-M91-M96-M101-M102-M103+M104+M105,0)</f>
        <v>729.26445507126516</v>
      </c>
      <c r="N106" s="1">
        <f>IF(N$4&lt;=核心参数输入!$B$9,N90-N91-N96-N101-N102-N103+N104+N105,0)</f>
        <v>741.2473006925336</v>
      </c>
      <c r="O106" s="1">
        <f>IF(O$4&lt;=核心参数输入!$B$9,O90-O91-O96-O101-O102-O103+O104+O105,0)</f>
        <v>753.37676657402562</v>
      </c>
      <c r="P106" s="1">
        <f>IF(P$4&lt;=核心参数输入!$B$9,P90-P91-P96-P101-P102-P103+P104+P105,0)</f>
        <v>765.6543895711618</v>
      </c>
      <c r="Q106" s="1">
        <f>IF(Q$4&lt;=核心参数输入!$B$9,Q90-Q91-Q96-Q101-Q102-Q103+Q104+Q105,0)</f>
        <v>778.08171634322582</v>
      </c>
      <c r="R106" s="1">
        <f>IF(R$4&lt;=核心参数输入!$B$9,R90-R91-R96-R101-R102-R103+R104+R105,0)</f>
        <v>790.66030323544044</v>
      </c>
      <c r="S106" s="1">
        <f>IF(S$4&lt;=核心参数输入!$B$9,S90-S91-S96-S101-S102-S103+S104+S105,0)</f>
        <v>803.3917161539797</v>
      </c>
      <c r="T106" s="1">
        <f>IF(T$4&lt;=核心参数输入!$B$9,T90-T91-T96-T101-T102-T103+T104+T105,0)</f>
        <v>816.27753043369694</v>
      </c>
      <c r="U106" s="1">
        <f>IF(U$4&lt;=核心参数输入!$B$9,U90-U91-U96-U101-U102-U103+U104+U105,0)</f>
        <v>829.31933069835895</v>
      </c>
      <c r="V106" s="1">
        <f>IF(V$4&lt;=核心参数输入!$B$9,V90-V91-V96-V101-V102-V103+V104+V105,0)</f>
        <v>839.26928303486488</v>
      </c>
      <c r="W106" s="1">
        <f>IF(W$4&lt;=核心参数输入!$B$9,W90-W91-W96-W101-W102-W103+W104+W105,0)</f>
        <v>849.288204921942</v>
      </c>
      <c r="X106" s="1">
        <f>IF(X$4&lt;=核心参数输入!$B$9,X90-X91-X96-X101-X102-X103+X104+X105,0)</f>
        <v>1359.4277223651561</v>
      </c>
      <c r="Y106" s="1">
        <f>IF(Y$4&lt;=核心参数输入!$B$9,Y90-Y91-Y96-Y101-Y102-Y103+Y104+Y105,0)</f>
        <v>0</v>
      </c>
      <c r="Z106" s="1">
        <f>IF(Z$4&lt;=核心参数输入!$B$9,Z90-Z91-Z96-Z101-Z102-Z103+Z104+Z105,0)</f>
        <v>0</v>
      </c>
      <c r="AA106" s="1">
        <f>IF(AA$4&lt;=核心参数输入!$B$9,AA90-AA91-AA96-AA101-AA102-AA103+AA104+AA105,0)</f>
        <v>0</v>
      </c>
      <c r="AB106" s="1">
        <f>IF(AB$4&lt;=核心参数输入!$B$9,AB90-AB91-AB96-AB101-AB102-AB103+AB104+AB105,0)</f>
        <v>0</v>
      </c>
      <c r="AC106" s="1">
        <f>IF(AC$4&lt;=核心参数输入!$B$9,AC90-AC91-AC96-AC101-AC102-AC103+AC104+AC105,0)</f>
        <v>0</v>
      </c>
      <c r="AD106" s="1">
        <f>IF(AD$4&lt;=核心参数输入!$B$9,AD90-AD91-AD96-AD101-AD102-AD103+AD104+AD105,0)</f>
        <v>0</v>
      </c>
      <c r="AE106" s="1">
        <f>IF(AE$4&lt;=核心参数输入!$B$9,AE90-AE91-AE96-AE101-AE102-AE103+AE104+AE105,0)</f>
        <v>0</v>
      </c>
      <c r="AF106" s="1">
        <f>IF(AF$4&lt;=核心参数输入!$B$9,AF90-AF91-AF96-AF101-AF102-AF103+AF104+AF105,0)</f>
        <v>0</v>
      </c>
      <c r="AG106" s="1">
        <f>IF(AG$4&lt;=核心参数输入!$B$9,AG90-AG91-AG96-AG101-AG102-AG103+AG104+AG105,0)</f>
        <v>0</v>
      </c>
      <c r="AH106" s="1">
        <f>IF(AH$4&lt;=核心参数输入!$B$9,AH90-AH91-AH96-AH101-AH102-AH103+AH104+AH105,0)</f>
        <v>0</v>
      </c>
    </row>
    <row r="107" spans="1:34" ht="21" customHeight="1">
      <c r="A107" s="11" t="s">
        <v>272</v>
      </c>
      <c r="B107" s="11" t="s">
        <v>54</v>
      </c>
      <c r="D107" s="1">
        <f>IF(D$4&lt;=核心参数输入!$B$9,融资与还本付息!D91,0)</f>
        <v>0</v>
      </c>
      <c r="E107" s="1">
        <f>IF(E$4&lt;=核心参数输入!$B$9,融资与还本付息!E91,0)</f>
        <v>9000</v>
      </c>
      <c r="F107" s="1">
        <f>IF(F$4&lt;=核心参数输入!$B$9,融资与还本付息!F91,0)</f>
        <v>12000</v>
      </c>
      <c r="G107" s="1">
        <f>IF(G$4&lt;=核心参数输入!$B$9,融资与还本付息!G91,0)</f>
        <v>9000</v>
      </c>
      <c r="H107" s="1">
        <f>IF(H$4&lt;=核心参数输入!$B$9,融资与还本付息!H91,0)</f>
        <v>0</v>
      </c>
      <c r="I107" s="1">
        <f>IF(I$4&lt;=核心参数输入!$B$9,融资与还本付息!I91,0)</f>
        <v>0</v>
      </c>
      <c r="J107" s="1">
        <f>IF(J$4&lt;=核心参数输入!$B$9,融资与还本付息!J91,0)</f>
        <v>0</v>
      </c>
      <c r="K107" s="1">
        <f>IF(K$4&lt;=核心参数输入!$B$9,融资与还本付息!K91,0)</f>
        <v>0</v>
      </c>
      <c r="L107" s="1">
        <f>IF(L$4&lt;=核心参数输入!$B$9,融资与还本付息!L91,0)</f>
        <v>0</v>
      </c>
      <c r="M107" s="1">
        <f>IF(M$4&lt;=核心参数输入!$B$9,融资与还本付息!M91,0)</f>
        <v>0</v>
      </c>
      <c r="N107" s="1">
        <f>IF(N$4&lt;=核心参数输入!$B$9,融资与还本付息!N91,0)</f>
        <v>0</v>
      </c>
      <c r="O107" s="1">
        <f>IF(O$4&lt;=核心参数输入!$B$9,融资与还本付息!O91,0)</f>
        <v>0</v>
      </c>
      <c r="P107" s="1">
        <f>IF(P$4&lt;=核心参数输入!$B$9,融资与还本付息!P91,0)</f>
        <v>0</v>
      </c>
      <c r="Q107" s="1">
        <f>IF(Q$4&lt;=核心参数输入!$B$9,融资与还本付息!Q91,0)</f>
        <v>0</v>
      </c>
      <c r="R107" s="1">
        <f>IF(R$4&lt;=核心参数输入!$B$9,融资与还本付息!R91,0)</f>
        <v>0</v>
      </c>
      <c r="S107" s="1">
        <f>IF(S$4&lt;=核心参数输入!$B$9,融资与还本付息!S91,0)</f>
        <v>0</v>
      </c>
      <c r="T107" s="1">
        <f>IF(T$4&lt;=核心参数输入!$B$9,融资与还本付息!T91,0)</f>
        <v>0</v>
      </c>
      <c r="U107" s="1">
        <f>IF(U$4&lt;=核心参数输入!$B$9,融资与还本付息!U91,0)</f>
        <v>0</v>
      </c>
      <c r="V107" s="1">
        <f>IF(V$4&lt;=核心参数输入!$B$9,融资与还本付息!V91,0)</f>
        <v>0</v>
      </c>
      <c r="W107" s="1">
        <f>IF(W$4&lt;=核心参数输入!$B$9,融资与还本付息!W91,0)</f>
        <v>0</v>
      </c>
      <c r="X107" s="1">
        <f>IF(X$4&lt;=核心参数输入!$B$9,融资与还本付息!X91,0)</f>
        <v>0</v>
      </c>
      <c r="Y107" s="1">
        <f>IF(Y$4&lt;=核心参数输入!$B$9,融资与还本付息!Y91,0)</f>
        <v>0</v>
      </c>
      <c r="Z107" s="1">
        <f>IF(Z$4&lt;=核心参数输入!$B$9,融资与还本付息!Z91,0)</f>
        <v>0</v>
      </c>
      <c r="AA107" s="1">
        <f>IF(AA$4&lt;=核心参数输入!$B$9,融资与还本付息!AA91,0)</f>
        <v>0</v>
      </c>
      <c r="AB107" s="1">
        <f>IF(AB$4&lt;=核心参数输入!$B$9,融资与还本付息!AB91,0)</f>
        <v>0</v>
      </c>
      <c r="AC107" s="1">
        <f>IF(AC$4&lt;=核心参数输入!$B$9,融资与还本付息!AC91,0)</f>
        <v>0</v>
      </c>
      <c r="AD107" s="1">
        <f>IF(AD$4&lt;=核心参数输入!$B$9,融资与还本付息!AD91,0)</f>
        <v>0</v>
      </c>
      <c r="AE107" s="1">
        <f>IF(AE$4&lt;=核心参数输入!$B$9,融资与还本付息!AE91,0)</f>
        <v>0</v>
      </c>
      <c r="AF107" s="1">
        <f>IF(AF$4&lt;=核心参数输入!$B$9,融资与还本付息!AF91,0)</f>
        <v>0</v>
      </c>
      <c r="AG107" s="1">
        <f>IF(AG$4&lt;=核心参数输入!$B$9,融资与还本付息!AG91,0)</f>
        <v>0</v>
      </c>
      <c r="AH107" s="1">
        <f>IF(AH$4&lt;=核心参数输入!$B$9,融资与还本付息!AH91,0)</f>
        <v>0</v>
      </c>
    </row>
    <row r="108" spans="1:34" ht="21" customHeight="1">
      <c r="A108" s="11" t="s">
        <v>273</v>
      </c>
      <c r="B108" s="11" t="s">
        <v>54</v>
      </c>
      <c r="D108" s="1">
        <f>IF(D$4&lt;=核心参数输入!$B$9,融资与还本付息!D94,0)</f>
        <v>0</v>
      </c>
      <c r="E108" s="1">
        <f>IF(E$4&lt;=核心参数输入!$B$9,融资与还本付息!E94,0)</f>
        <v>189</v>
      </c>
      <c r="F108" s="1">
        <f>IF(F$4&lt;=核心参数输入!$B$9,融资与还本付息!F94,0)</f>
        <v>630</v>
      </c>
      <c r="G108" s="1">
        <f>IF(G$4&lt;=核心参数输入!$B$9,融资与还本付息!G94,0)</f>
        <v>1071</v>
      </c>
      <c r="H108" s="1">
        <f>IF(H$4&lt;=核心参数输入!$B$9,融资与还本付息!H94,0)</f>
        <v>1170.0000000000002</v>
      </c>
      <c r="I108" s="1">
        <f>IF(I$4&lt;=核心参数输入!$B$9,融资与还本付息!I94,0)</f>
        <v>990.00000000000011</v>
      </c>
      <c r="J108" s="1">
        <f>IF(J$4&lt;=核心参数输入!$B$9,融资与还本付息!J94,0)</f>
        <v>810.00000000000011</v>
      </c>
      <c r="K108" s="1">
        <f>IF(K$4&lt;=核心参数输入!$B$9,融资与还本付息!K94,0)</f>
        <v>630</v>
      </c>
      <c r="L108" s="1">
        <f>IF(L$4&lt;=核心参数输入!$B$9,融资与还本付息!L94,0)</f>
        <v>449.99999999999994</v>
      </c>
      <c r="M108" s="1">
        <f>IF(M$4&lt;=核心参数输入!$B$9,融资与还本付息!M94,0)</f>
        <v>269.99999999999989</v>
      </c>
      <c r="N108" s="1">
        <f>IF(N$4&lt;=核心参数输入!$B$9,融资与还本付息!N94,0)</f>
        <v>89.999999999999957</v>
      </c>
      <c r="O108" s="1">
        <f>IF(O$4&lt;=核心参数输入!$B$9,融资与还本付息!O94,0)</f>
        <v>0</v>
      </c>
      <c r="P108" s="1">
        <f>IF(P$4&lt;=核心参数输入!$B$9,融资与还本付息!P94,0)</f>
        <v>0</v>
      </c>
      <c r="Q108" s="1">
        <f>IF(Q$4&lt;=核心参数输入!$B$9,融资与还本付息!Q94,0)</f>
        <v>0</v>
      </c>
      <c r="R108" s="1">
        <f>IF(R$4&lt;=核心参数输入!$B$9,融资与还本付息!R94,0)</f>
        <v>0</v>
      </c>
      <c r="S108" s="1">
        <f>IF(S$4&lt;=核心参数输入!$B$9,融资与还本付息!S94,0)</f>
        <v>0</v>
      </c>
      <c r="T108" s="1">
        <f>IF(T$4&lt;=核心参数输入!$B$9,融资与还本付息!T94,0)</f>
        <v>0</v>
      </c>
      <c r="U108" s="1">
        <f>IF(U$4&lt;=核心参数输入!$B$9,融资与还本付息!U94,0)</f>
        <v>0</v>
      </c>
      <c r="V108" s="1">
        <f>IF(V$4&lt;=核心参数输入!$B$9,融资与还本付息!V94,0)</f>
        <v>0</v>
      </c>
      <c r="W108" s="1">
        <f>IF(W$4&lt;=核心参数输入!$B$9,融资与还本付息!W94,0)</f>
        <v>0</v>
      </c>
      <c r="X108" s="1">
        <f>IF(X$4&lt;=核心参数输入!$B$9,融资与还本付息!X94,0)</f>
        <v>0</v>
      </c>
      <c r="Y108" s="1">
        <f>IF(Y$4&lt;=核心参数输入!$B$9,融资与还本付息!Y94,0)</f>
        <v>0</v>
      </c>
      <c r="Z108" s="1">
        <f>IF(Z$4&lt;=核心参数输入!$B$9,融资与还本付息!Z94,0)</f>
        <v>0</v>
      </c>
      <c r="AA108" s="1">
        <f>IF(AA$4&lt;=核心参数输入!$B$9,融资与还本付息!AA94,0)</f>
        <v>0</v>
      </c>
      <c r="AB108" s="1">
        <f>IF(AB$4&lt;=核心参数输入!$B$9,融资与还本付息!AB94,0)</f>
        <v>0</v>
      </c>
      <c r="AC108" s="1">
        <f>IF(AC$4&lt;=核心参数输入!$B$9,融资与还本付息!AC94,0)</f>
        <v>0</v>
      </c>
      <c r="AD108" s="1">
        <f>IF(AD$4&lt;=核心参数输入!$B$9,融资与还本付息!AD94,0)</f>
        <v>0</v>
      </c>
      <c r="AE108" s="1">
        <f>IF(AE$4&lt;=核心参数输入!$B$9,融资与还本付息!AE94,0)</f>
        <v>0</v>
      </c>
      <c r="AF108" s="1">
        <f>IF(AF$4&lt;=核心参数输入!$B$9,融资与还本付息!AF94,0)</f>
        <v>0</v>
      </c>
      <c r="AG108" s="1">
        <f>IF(AG$4&lt;=核心参数输入!$B$9,融资与还本付息!AG94,0)</f>
        <v>0</v>
      </c>
      <c r="AH108" s="1">
        <f>IF(AH$4&lt;=核心参数输入!$B$9,融资与还本付息!AH94,0)</f>
        <v>0</v>
      </c>
    </row>
    <row r="109" spans="1:34" ht="21" customHeight="1">
      <c r="A109" s="11" t="s">
        <v>274</v>
      </c>
      <c r="B109" s="11" t="s">
        <v>54</v>
      </c>
      <c r="D109" s="1">
        <f>IF(D$4&lt;=核心参数输入!$B$9,融资与还本付息!D93,0)</f>
        <v>0</v>
      </c>
      <c r="E109" s="1">
        <f>IF(E$4&lt;=核心参数输入!$B$9,融资与还本付息!E93,0)</f>
        <v>0</v>
      </c>
      <c r="F109" s="1">
        <f>IF(F$4&lt;=核心参数输入!$B$9,融资与还本付息!F93,0)</f>
        <v>0</v>
      </c>
      <c r="G109" s="1">
        <f>IF(G$4&lt;=核心参数输入!$B$9,融资与还本付息!G93,0)</f>
        <v>0</v>
      </c>
      <c r="H109" s="1">
        <f>IF(H$4&lt;=核心参数输入!$B$9,融资与还本付息!H93,0)</f>
        <v>4285.7142857142853</v>
      </c>
      <c r="I109" s="1">
        <f>IF(I$4&lt;=核心参数输入!$B$9,融资与还本付息!I93,0)</f>
        <v>4285.7142857142853</v>
      </c>
      <c r="J109" s="1">
        <f>IF(J$4&lt;=核心参数输入!$B$9,融资与还本付息!J93,0)</f>
        <v>4285.7142857142853</v>
      </c>
      <c r="K109" s="1">
        <f>IF(K$4&lt;=核心参数输入!$B$9,融资与还本付息!K93,0)</f>
        <v>4285.7142857142853</v>
      </c>
      <c r="L109" s="1">
        <f>IF(L$4&lt;=核心参数输入!$B$9,融资与还本付息!L93,0)</f>
        <v>4285.7142857142853</v>
      </c>
      <c r="M109" s="1">
        <f>IF(M$4&lt;=核心参数输入!$B$9,融资与还本付息!M93,0)</f>
        <v>4285.7142857142853</v>
      </c>
      <c r="N109" s="1">
        <f>IF(N$4&lt;=核心参数输入!$B$9,融资与还本付息!N93,0)</f>
        <v>4285.7142857142835</v>
      </c>
      <c r="O109" s="1">
        <f>IF(O$4&lt;=核心参数输入!$B$9,融资与还本付息!O93,0)</f>
        <v>0</v>
      </c>
      <c r="P109" s="1">
        <f>IF(P$4&lt;=核心参数输入!$B$9,融资与还本付息!P93,0)</f>
        <v>0</v>
      </c>
      <c r="Q109" s="1">
        <f>IF(Q$4&lt;=核心参数输入!$B$9,融资与还本付息!Q93,0)</f>
        <v>0</v>
      </c>
      <c r="R109" s="1">
        <f>IF(R$4&lt;=核心参数输入!$B$9,融资与还本付息!R93,0)</f>
        <v>0</v>
      </c>
      <c r="S109" s="1">
        <f>IF(S$4&lt;=核心参数输入!$B$9,融资与还本付息!S93,0)</f>
        <v>0</v>
      </c>
      <c r="T109" s="1">
        <f>IF(T$4&lt;=核心参数输入!$B$9,融资与还本付息!T93,0)</f>
        <v>0</v>
      </c>
      <c r="U109" s="1">
        <f>IF(U$4&lt;=核心参数输入!$B$9,融资与还本付息!U93,0)</f>
        <v>0</v>
      </c>
      <c r="V109" s="1">
        <f>IF(V$4&lt;=核心参数输入!$B$9,融资与还本付息!V93,0)</f>
        <v>0</v>
      </c>
      <c r="W109" s="1">
        <f>IF(W$4&lt;=核心参数输入!$B$9,融资与还本付息!W93,0)</f>
        <v>0</v>
      </c>
      <c r="X109" s="1">
        <f>IF(X$4&lt;=核心参数输入!$B$9,融资与还本付息!X93,0)</f>
        <v>0</v>
      </c>
      <c r="Y109" s="1">
        <f>IF(Y$4&lt;=核心参数输入!$B$9,融资与还本付息!Y93,0)</f>
        <v>0</v>
      </c>
      <c r="Z109" s="1">
        <f>IF(Z$4&lt;=核心参数输入!$B$9,融资与还本付息!Z93,0)</f>
        <v>0</v>
      </c>
      <c r="AA109" s="1">
        <f>IF(AA$4&lt;=核心参数输入!$B$9,融资与还本付息!AA93,0)</f>
        <v>0</v>
      </c>
      <c r="AB109" s="1">
        <f>IF(AB$4&lt;=核心参数输入!$B$9,融资与还本付息!AB93,0)</f>
        <v>0</v>
      </c>
      <c r="AC109" s="1">
        <f>IF(AC$4&lt;=核心参数输入!$B$9,融资与还本付息!AC93,0)</f>
        <v>0</v>
      </c>
      <c r="AD109" s="1">
        <f>IF(AD$4&lt;=核心参数输入!$B$9,融资与还本付息!AD93,0)</f>
        <v>0</v>
      </c>
      <c r="AE109" s="1">
        <f>IF(AE$4&lt;=核心参数输入!$B$9,融资与还本付息!AE93,0)</f>
        <v>0</v>
      </c>
      <c r="AF109" s="1">
        <f>IF(AF$4&lt;=核心参数输入!$B$9,融资与还本付息!AF93,0)</f>
        <v>0</v>
      </c>
      <c r="AG109" s="1">
        <f>IF(AG$4&lt;=核心参数输入!$B$9,融资与还本付息!AG93,0)</f>
        <v>0</v>
      </c>
      <c r="AH109" s="1">
        <f>IF(AH$4&lt;=核心参数输入!$B$9,融资与还本付息!AH93,0)</f>
        <v>0</v>
      </c>
    </row>
    <row r="110" spans="1:34" ht="21" customHeight="1">
      <c r="A110" s="11" t="s">
        <v>275</v>
      </c>
      <c r="B110" s="11" t="s">
        <v>54</v>
      </c>
      <c r="D110" s="1">
        <f>IF(D$4&lt;=核心参数输入!$B$9,D96-D97,0)</f>
        <v>0</v>
      </c>
      <c r="E110" s="1">
        <f>IF(E$4&lt;=核心参数输入!$B$9,E96-E97,0)</f>
        <v>0</v>
      </c>
      <c r="F110" s="1">
        <f>IF(F$4&lt;=核心参数输入!$B$9,F96-F97,0)</f>
        <v>0</v>
      </c>
      <c r="G110" s="1">
        <f>IF(G$4&lt;=核心参数输入!$B$9,G96-G97,0)</f>
        <v>0</v>
      </c>
      <c r="H110" s="1">
        <f>IF(H$4&lt;=核心参数输入!$B$9,H96-H97,0)</f>
        <v>0</v>
      </c>
      <c r="I110" s="1">
        <f>IF(I$4&lt;=核心参数输入!$B$9,I96-I97,0)</f>
        <v>117.88627749602455</v>
      </c>
      <c r="J110" s="1">
        <f>IF(J$4&lt;=核心参数输入!$B$9,J96-J97,0)</f>
        <v>118.14023426494322</v>
      </c>
      <c r="K110" s="1">
        <f>IF(K$4&lt;=核心参数输入!$B$9,K96-K97,0)</f>
        <v>0</v>
      </c>
      <c r="L110" s="1">
        <f>IF(L$4&lt;=核心参数输入!$B$9,L96-L97,0)</f>
        <v>0</v>
      </c>
      <c r="M110" s="1">
        <f>IF(M$4&lt;=核心参数输入!$B$9,M96-M97,0)</f>
        <v>0</v>
      </c>
      <c r="N110" s="1">
        <f>IF(N$4&lt;=核心参数输入!$B$9,N96-N97,0)</f>
        <v>0</v>
      </c>
      <c r="O110" s="1">
        <f>IF(O$4&lt;=核心参数输入!$B$9,O96-O97,0)</f>
        <v>0</v>
      </c>
      <c r="P110" s="1">
        <f>IF(P$4&lt;=核心参数输入!$B$9,P96-P97,0)</f>
        <v>0</v>
      </c>
      <c r="Q110" s="1">
        <f>IF(Q$4&lt;=核心参数输入!$B$9,Q96-Q97,0)</f>
        <v>0</v>
      </c>
      <c r="R110" s="1">
        <f>IF(R$4&lt;=核心参数输入!$B$9,R96-R97,0)</f>
        <v>0</v>
      </c>
      <c r="S110" s="1">
        <f>IF(S$4&lt;=核心参数输入!$B$9,S96-S97,0)</f>
        <v>0</v>
      </c>
      <c r="T110" s="1">
        <f>IF(T$4&lt;=核心参数输入!$B$9,T96-T97,0)</f>
        <v>0</v>
      </c>
      <c r="U110" s="1">
        <f>IF(U$4&lt;=核心参数输入!$B$9,U96-U97,0)</f>
        <v>0</v>
      </c>
      <c r="V110" s="1">
        <f>IF(V$4&lt;=核心参数输入!$B$9,V96-V97,0)</f>
        <v>3.2494276782882991</v>
      </c>
      <c r="W110" s="1">
        <f>IF(W$4&lt;=核心参数输入!$B$9,W96-W97,0)</f>
        <v>6.5890683073140224</v>
      </c>
      <c r="X110" s="1">
        <f>IF(X$4&lt;=核心参数输入!$B$9,X96-X97,0)</f>
        <v>6.7331249999999727</v>
      </c>
      <c r="Y110" s="1">
        <f>IF(Y$4&lt;=核心参数输入!$B$9,Y96-Y97,0)</f>
        <v>0</v>
      </c>
      <c r="Z110" s="1">
        <f>IF(Z$4&lt;=核心参数输入!$B$9,Z96-Z97,0)</f>
        <v>0</v>
      </c>
      <c r="AA110" s="1">
        <f>IF(AA$4&lt;=核心参数输入!$B$9,AA96-AA97,0)</f>
        <v>0</v>
      </c>
      <c r="AB110" s="1">
        <f>IF(AB$4&lt;=核心参数输入!$B$9,AB96-AB97,0)</f>
        <v>0</v>
      </c>
      <c r="AC110" s="1">
        <f>IF(AC$4&lt;=核心参数输入!$B$9,AC96-AC97,0)</f>
        <v>0</v>
      </c>
      <c r="AD110" s="1">
        <f>IF(AD$4&lt;=核心参数输入!$B$9,AD96-AD97,0)</f>
        <v>0</v>
      </c>
      <c r="AE110" s="1">
        <f>IF(AE$4&lt;=核心参数输入!$B$9,AE96-AE97,0)</f>
        <v>0</v>
      </c>
      <c r="AF110" s="1">
        <f>IF(AF$4&lt;=核心参数输入!$B$9,AF96-AF97,0)</f>
        <v>0</v>
      </c>
      <c r="AG110" s="1">
        <f>IF(AG$4&lt;=核心参数输入!$B$9,AG96-AG97,0)</f>
        <v>0</v>
      </c>
      <c r="AH110" s="1">
        <f>IF(AH$4&lt;=核心参数输入!$B$9,AH96-AH97,0)</f>
        <v>0</v>
      </c>
    </row>
    <row r="111" spans="1:34" ht="21" customHeight="1">
      <c r="A111" s="11" t="s">
        <v>276</v>
      </c>
      <c r="B111" s="11" t="s">
        <v>54</v>
      </c>
      <c r="D111" s="1">
        <f>IF(D$4&lt;=核心参数输入!$B$9,D106+D110+D107-D108-D109,0)</f>
        <v>-8000</v>
      </c>
      <c r="E111" s="1">
        <f>IF(E$4&lt;=核心参数输入!$B$9,E106+E110+E107-E108-E109,0)</f>
        <v>-8652.5999999999985</v>
      </c>
      <c r="F111" s="1">
        <f>IF(F$4&lt;=核心参数输入!$B$9,F106+F110+F107-F108-F109,0)</f>
        <v>-11914.800000000003</v>
      </c>
      <c r="G111" s="1">
        <f>IF(G$4&lt;=核心参数输入!$B$9,G106+G110+G107-G108-G109,0)</f>
        <v>-9534.5999999999985</v>
      </c>
      <c r="H111" s="1">
        <f>IF(H$4&lt;=核心参数输入!$B$9,H106+H110+H107-H108-H109,0)</f>
        <v>5658.7300045257134</v>
      </c>
      <c r="I111" s="1">
        <f>IF(I$4&lt;=核心参数输入!$B$9,I106+I110+I107-I108-I109,0)</f>
        <v>10591.991824269815</v>
      </c>
      <c r="J111" s="1">
        <f>IF(J$4&lt;=核心参数输入!$B$9,J106+J110+J107-J108-J109,0)</f>
        <v>7131.3476513454889</v>
      </c>
      <c r="K111" s="1">
        <f>IF(K$4&lt;=核心参数输入!$B$9,K106+K110+K107-K108-K109,0)</f>
        <v>-4228.7957420798593</v>
      </c>
      <c r="L111" s="1">
        <f>IF(L$4&lt;=核心参数输入!$B$9,L106+L110+L107-L108-L109,0)</f>
        <v>-4018.2875829445661</v>
      </c>
      <c r="M111" s="1">
        <f>IF(M$4&lt;=核心参数输入!$B$9,M106+M110+M107-M108-M109,0)</f>
        <v>-3826.4498306430201</v>
      </c>
      <c r="N111" s="1">
        <f>IF(N$4&lt;=核心参数输入!$B$9,N106+N110+N107-N108-N109,0)</f>
        <v>-3634.4669850217497</v>
      </c>
      <c r="O111" s="1">
        <f>IF(O$4&lt;=核心参数输入!$B$9,O106+O110+O107-O108-O109,0)</f>
        <v>753.37676657402562</v>
      </c>
      <c r="P111" s="1">
        <f>IF(P$4&lt;=核心参数输入!$B$9,P106+P110+P107-P108-P109,0)</f>
        <v>765.6543895711618</v>
      </c>
      <c r="Q111" s="1">
        <f>IF(Q$4&lt;=核心参数输入!$B$9,Q106+Q110+Q107-Q108-Q109,0)</f>
        <v>778.08171634322582</v>
      </c>
      <c r="R111" s="1">
        <f>IF(R$4&lt;=核心参数输入!$B$9,R106+R110+R107-R108-R109,0)</f>
        <v>790.66030323544044</v>
      </c>
      <c r="S111" s="1">
        <f>IF(S$4&lt;=核心参数输入!$B$9,S106+S110+S107-S108-S109,0)</f>
        <v>803.3917161539797</v>
      </c>
      <c r="T111" s="1">
        <f>IF(T$4&lt;=核心参数输入!$B$9,T106+T110+T107-T108-T109,0)</f>
        <v>816.27753043369694</v>
      </c>
      <c r="U111" s="1">
        <f>IF(U$4&lt;=核心参数输入!$B$9,U106+U110+U107-U108-U109,0)</f>
        <v>829.31933069835895</v>
      </c>
      <c r="V111" s="1">
        <f>IF(V$4&lt;=核心参数输入!$B$9,V106+V110+V107-V108-V109,0)</f>
        <v>842.51871071315315</v>
      </c>
      <c r="W111" s="1">
        <f>IF(W$4&lt;=核心参数输入!$B$9,W106+W110+W107-W108-W109,0)</f>
        <v>855.87727322925605</v>
      </c>
      <c r="X111" s="1">
        <f>IF(X$4&lt;=核心参数输入!$B$9,X106+X110+X107-X108-X109,0)</f>
        <v>1366.1608473651561</v>
      </c>
      <c r="Y111" s="1">
        <f>IF(Y$4&lt;=核心参数输入!$B$9,Y106+Y110+Y107-Y108-Y109,0)</f>
        <v>0</v>
      </c>
      <c r="Z111" s="1">
        <f>IF(Z$4&lt;=核心参数输入!$B$9,Z106+Z110+Z107-Z108-Z109,0)</f>
        <v>0</v>
      </c>
      <c r="AA111" s="1">
        <f>IF(AA$4&lt;=核心参数输入!$B$9,AA106+AA110+AA107-AA108-AA109,0)</f>
        <v>0</v>
      </c>
      <c r="AB111" s="1">
        <f>IF(AB$4&lt;=核心参数输入!$B$9,AB106+AB110+AB107-AB108-AB109,0)</f>
        <v>0</v>
      </c>
      <c r="AC111" s="1">
        <f>IF(AC$4&lt;=核心参数输入!$B$9,AC106+AC110+AC107-AC108-AC109,0)</f>
        <v>0</v>
      </c>
      <c r="AD111" s="1">
        <f>IF(AD$4&lt;=核心参数输入!$B$9,AD106+AD110+AD107-AD108-AD109,0)</f>
        <v>0</v>
      </c>
      <c r="AE111" s="1">
        <f>IF(AE$4&lt;=核心参数输入!$B$9,AE106+AE110+AE107-AE108-AE109,0)</f>
        <v>0</v>
      </c>
      <c r="AF111" s="1">
        <f>IF(AF$4&lt;=核心参数输入!$B$9,AF106+AF110+AF107-AF108-AF109,0)</f>
        <v>0</v>
      </c>
      <c r="AG111" s="1">
        <f>IF(AG$4&lt;=核心参数输入!$B$9,AG106+AG110+AG107-AG108-AG109,0)</f>
        <v>0</v>
      </c>
      <c r="AH111" s="1">
        <f>IF(AH$4&lt;=核心参数输入!$B$9,AH106+AH110+AH107-AH108-AH109,0)</f>
        <v>0</v>
      </c>
    </row>
    <row r="112" spans="1:34" ht="21" customHeight="1">
      <c r="A112" s="11" t="s">
        <v>277</v>
      </c>
      <c r="B112" s="11" t="s">
        <v>54</v>
      </c>
      <c r="D112" s="1">
        <f>IF(D$4&lt;=核心参数输入!$B$9,MAX(0,E112-E111),0)</f>
        <v>30102</v>
      </c>
      <c r="E112" s="1">
        <f>IF(E$4&lt;=核心参数输入!$B$9,MAX(0,F112-F111),0)</f>
        <v>21449.4</v>
      </c>
      <c r="F112" s="1">
        <f>IF(F$4&lt;=核心参数输入!$B$9,MAX(0,G112-G111),0)</f>
        <v>9534.5999999999985</v>
      </c>
      <c r="G112" s="1">
        <f>IF(G$4&lt;=核心参数输入!$B$9,MAX(0,H112-H111),0)</f>
        <v>0</v>
      </c>
      <c r="H112" s="1">
        <f>IF(H$4&lt;=核心参数输入!$B$9,MAX(0,I112-I111),0)</f>
        <v>0</v>
      </c>
      <c r="I112" s="1">
        <f>IF(I$4&lt;=核心参数输入!$B$9,MAX(0,J112-J111),0)</f>
        <v>8576.6524893437054</v>
      </c>
      <c r="J112" s="1">
        <f>IF(J$4&lt;=核心参数输入!$B$9,MAX(0,K112-K111),0)</f>
        <v>15708.000140689195</v>
      </c>
      <c r="K112" s="1">
        <f>IF(K$4&lt;=核心参数输入!$B$9,MAX(0,L112-L111),0)</f>
        <v>11479.204398609336</v>
      </c>
      <c r="L112" s="1">
        <f>IF(L$4&lt;=核心参数输入!$B$9,MAX(0,M112-M111),0)</f>
        <v>7460.9168156647702</v>
      </c>
      <c r="M112" s="1">
        <f>IF(M$4&lt;=核心参数输入!$B$9,MAX(0,N112-N111),0)</f>
        <v>3634.4669850217497</v>
      </c>
      <c r="N112" s="1">
        <f>IF(N$4&lt;=核心参数输入!$B$9,MAX(0,O112-O111),0)</f>
        <v>0</v>
      </c>
      <c r="O112" s="1">
        <f>IF(O$4&lt;=核心参数输入!$B$9,MAX(0,P112-P111),0)</f>
        <v>0</v>
      </c>
      <c r="P112" s="1">
        <f>IF(P$4&lt;=核心参数输入!$B$9,MAX(0,Q112-Q111),0)</f>
        <v>0</v>
      </c>
      <c r="Q112" s="1">
        <f>IF(Q$4&lt;=核心参数输入!$B$9,MAX(0,R112-R111),0)</f>
        <v>0</v>
      </c>
      <c r="R112" s="1">
        <f>IF(R$4&lt;=核心参数输入!$B$9,MAX(0,S112-S111),0)</f>
        <v>0</v>
      </c>
      <c r="S112" s="1">
        <f>IF(S$4&lt;=核心参数输入!$B$9,MAX(0,T112-T111),0)</f>
        <v>0</v>
      </c>
      <c r="T112" s="1">
        <f>IF(T$4&lt;=核心参数输入!$B$9,MAX(0,U112-U111),0)</f>
        <v>0</v>
      </c>
      <c r="U112" s="1">
        <f>IF(U$4&lt;=核心参数输入!$B$9,MAX(0,V112-V111),0)</f>
        <v>0</v>
      </c>
      <c r="V112" s="1">
        <f>IF(V$4&lt;=核心参数输入!$B$9,MAX(0,W112-W111),0)</f>
        <v>0</v>
      </c>
      <c r="W112" s="1">
        <f>IF(W$4&lt;=核心参数输入!$B$9,MAX(0,X112-X111),0)</f>
        <v>0</v>
      </c>
      <c r="X112" s="1">
        <f>IF(X$4&lt;=核心参数输入!$B$9,MAX(0,Y112-Y111),0)</f>
        <v>0</v>
      </c>
      <c r="Y112" s="1">
        <f>IF(Y$4&lt;=核心参数输入!$B$9,MAX(0,Z112-Z111),0)</f>
        <v>0</v>
      </c>
      <c r="Z112" s="1">
        <f>IF(Z$4&lt;=核心参数输入!$B$9,MAX(0,AA112-AA111),0)</f>
        <v>0</v>
      </c>
      <c r="AA112" s="1">
        <f>IF(AA$4&lt;=核心参数输入!$B$9,MAX(0,AB112-AB111),0)</f>
        <v>0</v>
      </c>
      <c r="AB112" s="1">
        <f>IF(AB$4&lt;=核心参数输入!$B$9,MAX(0,AC112-AC111),0)</f>
        <v>0</v>
      </c>
      <c r="AC112" s="1">
        <f>IF(AC$4&lt;=核心参数输入!$B$9,MAX(0,AD112-AD111),0)</f>
        <v>0</v>
      </c>
      <c r="AD112" s="1">
        <f>IF(AD$4&lt;=核心参数输入!$B$9,MAX(0,AE112-AE111),0)</f>
        <v>0</v>
      </c>
      <c r="AE112" s="1">
        <f>IF(AE$4&lt;=核心参数输入!$B$9,MAX(0,AF112-AF111),0)</f>
        <v>0</v>
      </c>
      <c r="AF112" s="1">
        <f>IF(AF$4&lt;=核心参数输入!$B$9,MAX(0,AG112-AG111),0)</f>
        <v>0</v>
      </c>
      <c r="AG112" s="1">
        <f>IF(AG$4&lt;=核心参数输入!$B$9,MAX(0,AH112-AH111),0)</f>
        <v>0</v>
      </c>
      <c r="AH112" s="1">
        <f>IF(AH$4&lt;=核心参数输入!$B$9,0,0)</f>
        <v>0</v>
      </c>
    </row>
    <row r="113" spans="1:34" ht="21" customHeight="1">
      <c r="A113" s="11" t="s">
        <v>278</v>
      </c>
      <c r="B113" s="11" t="s">
        <v>54</v>
      </c>
      <c r="D113" s="1">
        <f>IF(D$4&lt;=核心参数输入!$B$9,0,0)</f>
        <v>0</v>
      </c>
      <c r="E113" s="1">
        <f>IF(E$4&lt;=核心参数输入!$B$9,D116,0)</f>
        <v>0</v>
      </c>
      <c r="F113" s="1">
        <f>IF(F$4&lt;=核心参数输入!$B$9,E116,0)</f>
        <v>0</v>
      </c>
      <c r="G113" s="1">
        <f>IF(G$4&lt;=核心参数输入!$B$9,F116,0)</f>
        <v>0</v>
      </c>
      <c r="H113" s="1">
        <f>IF(H$4&lt;=核心参数输入!$B$9,G116,0)</f>
        <v>0</v>
      </c>
      <c r="I113" s="1">
        <f>IF(I$4&lt;=核心参数输入!$B$9,H116,0)</f>
        <v>0</v>
      </c>
      <c r="J113" s="1">
        <f>IF(J$4&lt;=核心参数输入!$B$9,I116,0)</f>
        <v>8576.6524893437054</v>
      </c>
      <c r="K113" s="1">
        <f>IF(K$4&lt;=核心参数输入!$B$9,J116,0)</f>
        <v>15708.000140689193</v>
      </c>
      <c r="L113" s="1">
        <f>IF(L$4&lt;=核心参数输入!$B$9,K116,0)</f>
        <v>11479.204398609334</v>
      </c>
      <c r="M113" s="1">
        <f>IF(M$4&lt;=核心参数输入!$B$9,L116,0)</f>
        <v>7460.9168156647684</v>
      </c>
      <c r="N113" s="1">
        <f>IF(N$4&lt;=核心参数输入!$B$9,M116,0)</f>
        <v>3634.4669850217483</v>
      </c>
      <c r="O113" s="1">
        <f>IF(O$4&lt;=核心参数输入!$B$9,N116,0)</f>
        <v>0</v>
      </c>
      <c r="P113" s="1">
        <f>IF(P$4&lt;=核心参数输入!$B$9,O116,0)</f>
        <v>0</v>
      </c>
      <c r="Q113" s="1">
        <f>IF(Q$4&lt;=核心参数输入!$B$9,P116,0)</f>
        <v>0</v>
      </c>
      <c r="R113" s="1">
        <f>IF(R$4&lt;=核心参数输入!$B$9,Q116,0)</f>
        <v>0</v>
      </c>
      <c r="S113" s="1">
        <f>IF(S$4&lt;=核心参数输入!$B$9,R116,0)</f>
        <v>0</v>
      </c>
      <c r="T113" s="1">
        <f>IF(T$4&lt;=核心参数输入!$B$9,S116,0)</f>
        <v>0</v>
      </c>
      <c r="U113" s="1">
        <f>IF(U$4&lt;=核心参数输入!$B$9,T116,0)</f>
        <v>0</v>
      </c>
      <c r="V113" s="1">
        <f>IF(V$4&lt;=核心参数输入!$B$9,U116,0)</f>
        <v>0</v>
      </c>
      <c r="W113" s="1">
        <f>IF(W$4&lt;=核心参数输入!$B$9,V116,0)</f>
        <v>0</v>
      </c>
      <c r="X113" s="1">
        <f>IF(X$4&lt;=核心参数输入!$B$9,W116,0)</f>
        <v>0</v>
      </c>
      <c r="Y113" s="1">
        <f>IF(Y$4&lt;=核心参数输入!$B$9,X116,0)</f>
        <v>0</v>
      </c>
      <c r="Z113" s="1">
        <f>IF(Z$4&lt;=核心参数输入!$B$9,Y116,0)</f>
        <v>0</v>
      </c>
      <c r="AA113" s="1">
        <f>IF(AA$4&lt;=核心参数输入!$B$9,Z116,0)</f>
        <v>0</v>
      </c>
      <c r="AB113" s="1">
        <f>IF(AB$4&lt;=核心参数输入!$B$9,AA116,0)</f>
        <v>0</v>
      </c>
      <c r="AC113" s="1">
        <f>IF(AC$4&lt;=核心参数输入!$B$9,AB116,0)</f>
        <v>0</v>
      </c>
      <c r="AD113" s="1">
        <f>IF(AD$4&lt;=核心参数输入!$B$9,AC116,0)</f>
        <v>0</v>
      </c>
      <c r="AE113" s="1">
        <f>IF(AE$4&lt;=核心参数输入!$B$9,AD116,0)</f>
        <v>0</v>
      </c>
      <c r="AF113" s="1">
        <f>IF(AF$4&lt;=核心参数输入!$B$9,AE116,0)</f>
        <v>0</v>
      </c>
      <c r="AG113" s="1">
        <f>IF(AG$4&lt;=核心参数输入!$B$9,AF116,0)</f>
        <v>0</v>
      </c>
      <c r="AH113" s="1">
        <f>IF(AH$4&lt;=核心参数输入!$B$9,AG116,0)</f>
        <v>0</v>
      </c>
    </row>
    <row r="114" spans="1:34" ht="21" customHeight="1">
      <c r="A114" s="11" t="s">
        <v>279</v>
      </c>
      <c r="B114" s="11" t="s">
        <v>54</v>
      </c>
      <c r="D114" s="1">
        <f>IF(D$4&lt;=核心参数输入!$B$9,MAX(0,-(D113+D111)),0)</f>
        <v>8000</v>
      </c>
      <c r="E114" s="1">
        <f>IF(E$4&lt;=核心参数输入!$B$9,MAX(0,-(E113+E111)),0)</f>
        <v>8652.5999999999985</v>
      </c>
      <c r="F114" s="1">
        <f>IF(F$4&lt;=核心参数输入!$B$9,MAX(0,-(F113+F111)),0)</f>
        <v>11914.800000000003</v>
      </c>
      <c r="G114" s="1">
        <f>IF(G$4&lt;=核心参数输入!$B$9,MAX(0,-(G113+G111)),0)</f>
        <v>9534.5999999999985</v>
      </c>
      <c r="H114" s="1">
        <f>IF(H$4&lt;=核心参数输入!$B$9,MAX(0,-(H113+H111)),0)</f>
        <v>0</v>
      </c>
      <c r="I114" s="1">
        <f>IF(I$4&lt;=核心参数输入!$B$9,MAX(0,-(I113+I111)),0)</f>
        <v>0</v>
      </c>
      <c r="J114" s="1">
        <f>IF(J$4&lt;=核心参数输入!$B$9,MAX(0,-(J113+J111)),0)</f>
        <v>0</v>
      </c>
      <c r="K114" s="1">
        <f>IF(K$4&lt;=核心参数输入!$B$9,MAX(0,-(K113+K111)),0)</f>
        <v>0</v>
      </c>
      <c r="L114" s="1">
        <f>IF(L$4&lt;=核心参数输入!$B$9,MAX(0,-(L113+L111)),0)</f>
        <v>0</v>
      </c>
      <c r="M114" s="1">
        <f>IF(M$4&lt;=核心参数输入!$B$9,MAX(0,-(M113+M111)),0)</f>
        <v>0</v>
      </c>
      <c r="N114" s="1">
        <f>IF(N$4&lt;=核心参数输入!$B$9,MAX(0,-(N113+N111)),0)</f>
        <v>1.3642420526593924E-12</v>
      </c>
      <c r="O114" s="1">
        <f>IF(O$4&lt;=核心参数输入!$B$9,MAX(0,-(O113+O111)),0)</f>
        <v>0</v>
      </c>
      <c r="P114" s="1">
        <f>IF(P$4&lt;=核心参数输入!$B$9,MAX(0,-(P113+P111)),0)</f>
        <v>0</v>
      </c>
      <c r="Q114" s="1">
        <f>IF(Q$4&lt;=核心参数输入!$B$9,MAX(0,-(Q113+Q111)),0)</f>
        <v>0</v>
      </c>
      <c r="R114" s="1">
        <f>IF(R$4&lt;=核心参数输入!$B$9,MAX(0,-(R113+R111)),0)</f>
        <v>0</v>
      </c>
      <c r="S114" s="1">
        <f>IF(S$4&lt;=核心参数输入!$B$9,MAX(0,-(S113+S111)),0)</f>
        <v>0</v>
      </c>
      <c r="T114" s="1">
        <f>IF(T$4&lt;=核心参数输入!$B$9,MAX(0,-(T113+T111)),0)</f>
        <v>0</v>
      </c>
      <c r="U114" s="1">
        <f>IF(U$4&lt;=核心参数输入!$B$9,MAX(0,-(U113+U111)),0)</f>
        <v>0</v>
      </c>
      <c r="V114" s="1">
        <f>IF(V$4&lt;=核心参数输入!$B$9,MAX(0,-(V113+V111)),0)</f>
        <v>0</v>
      </c>
      <c r="W114" s="1">
        <f>IF(W$4&lt;=核心参数输入!$B$9,MAX(0,-(W113+W111)),0)</f>
        <v>0</v>
      </c>
      <c r="X114" s="1">
        <f>IF(X$4&lt;=核心参数输入!$B$9,MAX(0,-(X113+X111)),0)</f>
        <v>0</v>
      </c>
      <c r="Y114" s="1">
        <f>IF(Y$4&lt;=核心参数输入!$B$9,MAX(0,-(Y113+Y111)),0)</f>
        <v>0</v>
      </c>
      <c r="Z114" s="1">
        <f>IF(Z$4&lt;=核心参数输入!$B$9,MAX(0,-(Z113+Z111)),0)</f>
        <v>0</v>
      </c>
      <c r="AA114" s="1">
        <f>IF(AA$4&lt;=核心参数输入!$B$9,MAX(0,-(AA113+AA111)),0)</f>
        <v>0</v>
      </c>
      <c r="AB114" s="1">
        <f>IF(AB$4&lt;=核心参数输入!$B$9,MAX(0,-(AB113+AB111)),0)</f>
        <v>0</v>
      </c>
      <c r="AC114" s="1">
        <f>IF(AC$4&lt;=核心参数输入!$B$9,MAX(0,-(AC113+AC111)),0)</f>
        <v>0</v>
      </c>
      <c r="AD114" s="1">
        <f>IF(AD$4&lt;=核心参数输入!$B$9,MAX(0,-(AD113+AD111)),0)</f>
        <v>0</v>
      </c>
      <c r="AE114" s="1">
        <f>IF(AE$4&lt;=核心参数输入!$B$9,MAX(0,-(AE113+AE111)),0)</f>
        <v>0</v>
      </c>
      <c r="AF114" s="1">
        <f>IF(AF$4&lt;=核心参数输入!$B$9,MAX(0,-(AF113+AF111)),0)</f>
        <v>0</v>
      </c>
      <c r="AG114" s="1">
        <f>IF(AG$4&lt;=核心参数输入!$B$9,MAX(0,-(AG113+AG111)),0)</f>
        <v>0</v>
      </c>
      <c r="AH114" s="1">
        <f>IF(AH$4&lt;=核心参数输入!$B$9,MAX(0,-(AH113+AH111)),0)</f>
        <v>0</v>
      </c>
    </row>
    <row r="115" spans="1:34" ht="21" customHeight="1">
      <c r="A115" s="11" t="s">
        <v>280</v>
      </c>
      <c r="B115" s="11" t="s">
        <v>54</v>
      </c>
      <c r="D115" s="1">
        <f>IF(D$4&lt;=核心参数输入!$B$9,MAX(0,D113+D111+D114-D112),0)</f>
        <v>0</v>
      </c>
      <c r="E115" s="1">
        <f>IF(E$4&lt;=核心参数输入!$B$9,MAX(0,E113+E111+E114-E112),0)</f>
        <v>0</v>
      </c>
      <c r="F115" s="1">
        <f>IF(F$4&lt;=核心参数输入!$B$9,MAX(0,F113+F111+F114-F112),0)</f>
        <v>0</v>
      </c>
      <c r="G115" s="1">
        <f>IF(G$4&lt;=核心参数输入!$B$9,MAX(0,G113+G111+G114-G112),0)</f>
        <v>0</v>
      </c>
      <c r="H115" s="1">
        <f>IF(H$4&lt;=核心参数输入!$B$9,MAX(0,H113+H111+H114-H112),0)</f>
        <v>5658.7300045257134</v>
      </c>
      <c r="I115" s="1">
        <f>IF(I$4&lt;=核心参数输入!$B$9,MAX(0,I113+I111+I114-I112),0)</f>
        <v>2015.3393349261096</v>
      </c>
      <c r="J115" s="1">
        <f>IF(J$4&lt;=核心参数输入!$B$9,MAX(0,J113+J111+J114-J112),0)</f>
        <v>0</v>
      </c>
      <c r="K115" s="1">
        <f>IF(K$4&lt;=核心参数输入!$B$9,MAX(0,K113+K111+K114-K112),0)</f>
        <v>0</v>
      </c>
      <c r="L115" s="1">
        <f>IF(L$4&lt;=核心参数输入!$B$9,MAX(0,L113+L111+L114-L112),0)</f>
        <v>0</v>
      </c>
      <c r="M115" s="1">
        <f>IF(M$4&lt;=核心参数输入!$B$9,MAX(0,M113+M111+M114-M112),0)</f>
        <v>0</v>
      </c>
      <c r="N115" s="1">
        <f>IF(N$4&lt;=核心参数输入!$B$9,MAX(0,N113+N111+N114-N112),0)</f>
        <v>0</v>
      </c>
      <c r="O115" s="1">
        <f>IF(O$4&lt;=核心参数输入!$B$9,MAX(0,O113+O111+O114-O112),0)</f>
        <v>753.37676657402562</v>
      </c>
      <c r="P115" s="1">
        <f>IF(P$4&lt;=核心参数输入!$B$9,MAX(0,P113+P111+P114-P112),0)</f>
        <v>765.6543895711618</v>
      </c>
      <c r="Q115" s="1">
        <f>IF(Q$4&lt;=核心参数输入!$B$9,MAX(0,Q113+Q111+Q114-Q112),0)</f>
        <v>778.08171634322582</v>
      </c>
      <c r="R115" s="1">
        <f>IF(R$4&lt;=核心参数输入!$B$9,MAX(0,R113+R111+R114-R112),0)</f>
        <v>790.66030323544044</v>
      </c>
      <c r="S115" s="1">
        <f>IF(S$4&lt;=核心参数输入!$B$9,MAX(0,S113+S111+S114-S112),0)</f>
        <v>803.3917161539797</v>
      </c>
      <c r="T115" s="1">
        <f>IF(T$4&lt;=核心参数输入!$B$9,MAX(0,T113+T111+T114-T112),0)</f>
        <v>816.27753043369694</v>
      </c>
      <c r="U115" s="1">
        <f>IF(U$4&lt;=核心参数输入!$B$9,MAX(0,U113+U111+U114-U112),0)</f>
        <v>829.31933069835895</v>
      </c>
      <c r="V115" s="1">
        <f>IF(V$4&lt;=核心参数输入!$B$9,MAX(0,V113+V111+V114-V112),0)</f>
        <v>842.51871071315315</v>
      </c>
      <c r="W115" s="1">
        <f>IF(W$4&lt;=核心参数输入!$B$9,MAX(0,W113+W111+W114-W112),0)</f>
        <v>855.87727322925605</v>
      </c>
      <c r="X115" s="1">
        <f>IF(X$4&lt;=核心参数输入!$B$9,MAX(0,X113+X111+X114-X112),0)</f>
        <v>1366.1608473651561</v>
      </c>
      <c r="Y115" s="1">
        <f>IF(Y$4&lt;=核心参数输入!$B$9,MAX(0,Y113+Y111+Y114-Y112),0)</f>
        <v>0</v>
      </c>
      <c r="Z115" s="1">
        <f>IF(Z$4&lt;=核心参数输入!$B$9,MAX(0,Z113+Z111+Z114-Z112),0)</f>
        <v>0</v>
      </c>
      <c r="AA115" s="1">
        <f>IF(AA$4&lt;=核心参数输入!$B$9,MAX(0,AA113+AA111+AA114-AA112),0)</f>
        <v>0</v>
      </c>
      <c r="AB115" s="1">
        <f>IF(AB$4&lt;=核心参数输入!$B$9,MAX(0,AB113+AB111+AB114-AB112),0)</f>
        <v>0</v>
      </c>
      <c r="AC115" s="1">
        <f>IF(AC$4&lt;=核心参数输入!$B$9,MAX(0,AC113+AC111+AC114-AC112),0)</f>
        <v>0</v>
      </c>
      <c r="AD115" s="1">
        <f>IF(AD$4&lt;=核心参数输入!$B$9,MAX(0,AD113+AD111+AD114-AD112),0)</f>
        <v>0</v>
      </c>
      <c r="AE115" s="1">
        <f>IF(AE$4&lt;=核心参数输入!$B$9,MAX(0,AE113+AE111+AE114-AE112),0)</f>
        <v>0</v>
      </c>
      <c r="AF115" s="1">
        <f>IF(AF$4&lt;=核心参数输入!$B$9,MAX(0,AF113+AF111+AF114-AF112),0)</f>
        <v>0</v>
      </c>
      <c r="AG115" s="1">
        <f>IF(AG$4&lt;=核心参数输入!$B$9,MAX(0,AG113+AG111+AG114-AG112),0)</f>
        <v>0</v>
      </c>
      <c r="AH115" s="1">
        <f>IF(AH$4&lt;=核心参数输入!$B$9,MAX(0,AH113+AH111+AH114-AH112),0)</f>
        <v>0</v>
      </c>
    </row>
    <row r="116" spans="1:34" ht="21" customHeight="1">
      <c r="A116" s="11" t="s">
        <v>281</v>
      </c>
      <c r="B116" s="11" t="s">
        <v>54</v>
      </c>
      <c r="D116" s="1">
        <f>IF(D$4&lt;=核心参数输入!$B$9,D113+D111+D114-D115,0)</f>
        <v>0</v>
      </c>
      <c r="E116" s="1">
        <f>IF(E$4&lt;=核心参数输入!$B$9,E113+E111+E114-E115,0)</f>
        <v>0</v>
      </c>
      <c r="F116" s="1">
        <f>IF(F$4&lt;=核心参数输入!$B$9,F113+F111+F114-F115,0)</f>
        <v>0</v>
      </c>
      <c r="G116" s="1">
        <f>IF(G$4&lt;=核心参数输入!$B$9,G113+G111+G114-G115,0)</f>
        <v>0</v>
      </c>
      <c r="H116" s="1">
        <f>IF(H$4&lt;=核心参数输入!$B$9,H113+H111+H114-H115,0)</f>
        <v>0</v>
      </c>
      <c r="I116" s="1">
        <f>IF(I$4&lt;=核心参数输入!$B$9,I113+I111+I114-I115,0)</f>
        <v>8576.6524893437054</v>
      </c>
      <c r="J116" s="1">
        <f>IF(J$4&lt;=核心参数输入!$B$9,J113+J111+J114-J115,0)</f>
        <v>15708.000140689193</v>
      </c>
      <c r="K116" s="1">
        <f>IF(K$4&lt;=核心参数输入!$B$9,K113+K111+K114-K115,0)</f>
        <v>11479.204398609334</v>
      </c>
      <c r="L116" s="1">
        <f>IF(L$4&lt;=核心参数输入!$B$9,L113+L111+L114-L115,0)</f>
        <v>7460.9168156647684</v>
      </c>
      <c r="M116" s="1">
        <f>IF(M$4&lt;=核心参数输入!$B$9,M113+M111+M114-M115,0)</f>
        <v>3634.4669850217483</v>
      </c>
      <c r="N116" s="1">
        <f>IF(N$4&lt;=核心参数输入!$B$9,N113+N111+N114-N115,0)</f>
        <v>0</v>
      </c>
      <c r="O116" s="1">
        <f>IF(O$4&lt;=核心参数输入!$B$9,O113+O111+O114-O115,0)</f>
        <v>0</v>
      </c>
      <c r="P116" s="1">
        <f>IF(P$4&lt;=核心参数输入!$B$9,P113+P111+P114-P115,0)</f>
        <v>0</v>
      </c>
      <c r="Q116" s="1">
        <f>IF(Q$4&lt;=核心参数输入!$B$9,Q113+Q111+Q114-Q115,0)</f>
        <v>0</v>
      </c>
      <c r="R116" s="1">
        <f>IF(R$4&lt;=核心参数输入!$B$9,R113+R111+R114-R115,0)</f>
        <v>0</v>
      </c>
      <c r="S116" s="1">
        <f>IF(S$4&lt;=核心参数输入!$B$9,S113+S111+S114-S115,0)</f>
        <v>0</v>
      </c>
      <c r="T116" s="1">
        <f>IF(T$4&lt;=核心参数输入!$B$9,T113+T111+T114-T115,0)</f>
        <v>0</v>
      </c>
      <c r="U116" s="1">
        <f>IF(U$4&lt;=核心参数输入!$B$9,U113+U111+U114-U115,0)</f>
        <v>0</v>
      </c>
      <c r="V116" s="1">
        <f>IF(V$4&lt;=核心参数输入!$B$9,V113+V111+V114-V115,0)</f>
        <v>0</v>
      </c>
      <c r="W116" s="1">
        <f>IF(W$4&lt;=核心参数输入!$B$9,W113+W111+W114-W115,0)</f>
        <v>0</v>
      </c>
      <c r="X116" s="1">
        <f>IF(X$4&lt;=核心参数输入!$B$9,X113+X111+X114-X115,0)</f>
        <v>0</v>
      </c>
      <c r="Y116" s="1">
        <f>IF(Y$4&lt;=核心参数输入!$B$9,Y113+Y111+Y114-Y115,0)</f>
        <v>0</v>
      </c>
      <c r="Z116" s="1">
        <f>IF(Z$4&lt;=核心参数输入!$B$9,Z113+Z111+Z114-Z115,0)</f>
        <v>0</v>
      </c>
      <c r="AA116" s="1">
        <f>IF(AA$4&lt;=核心参数输入!$B$9,AA113+AA111+AA114-AA115,0)</f>
        <v>0</v>
      </c>
      <c r="AB116" s="1">
        <f>IF(AB$4&lt;=核心参数输入!$B$9,AB113+AB111+AB114-AB115,0)</f>
        <v>0</v>
      </c>
      <c r="AC116" s="1">
        <f>IF(AC$4&lt;=核心参数输入!$B$9,AC113+AC111+AC114-AC115,0)</f>
        <v>0</v>
      </c>
      <c r="AD116" s="1">
        <f>IF(AD$4&lt;=核心参数输入!$B$9,AD113+AD111+AD114-AD115,0)</f>
        <v>0</v>
      </c>
      <c r="AE116" s="1">
        <f>IF(AE$4&lt;=核心参数输入!$B$9,AE113+AE111+AE114-AE115,0)</f>
        <v>0</v>
      </c>
      <c r="AF116" s="1">
        <f>IF(AF$4&lt;=核心参数输入!$B$9,AF113+AF111+AF114-AF115,0)</f>
        <v>0</v>
      </c>
      <c r="AG116" s="1">
        <f>IF(AG$4&lt;=核心参数输入!$B$9,AG113+AG111+AG114-AG115,0)</f>
        <v>0</v>
      </c>
      <c r="AH116" s="1">
        <f>IF(AH$4&lt;=核心参数输入!$B$9,AH113+AH111+AH114-AH115,0)</f>
        <v>0</v>
      </c>
    </row>
    <row r="117" spans="1:34" ht="21" customHeight="1">
      <c r="A117" s="11" t="s">
        <v>282</v>
      </c>
      <c r="B117" s="11" t="s">
        <v>54</v>
      </c>
      <c r="D117" s="1">
        <f>IF(D$4&lt;=核心参数输入!$B$9,0+D114,0)</f>
        <v>8000</v>
      </c>
      <c r="E117" s="1">
        <f>IF(E$4&lt;=核心参数输入!$B$9,D117+E114,0)</f>
        <v>16652.599999999999</v>
      </c>
      <c r="F117" s="1">
        <f>IF(F$4&lt;=核心参数输入!$B$9,E117+F114,0)</f>
        <v>28567.4</v>
      </c>
      <c r="G117" s="1">
        <f>IF(G$4&lt;=核心参数输入!$B$9,F117+G114,0)</f>
        <v>38102</v>
      </c>
      <c r="H117" s="1">
        <f>IF(H$4&lt;=核心参数输入!$B$9,G117+H114,0)</f>
        <v>38102</v>
      </c>
      <c r="I117" s="1">
        <f>IF(I$4&lt;=核心参数输入!$B$9,H117+I114,0)</f>
        <v>38102</v>
      </c>
      <c r="J117" s="1">
        <f>IF(J$4&lt;=核心参数输入!$B$9,I117+J114,0)</f>
        <v>38102</v>
      </c>
      <c r="K117" s="1">
        <f>IF(K$4&lt;=核心参数输入!$B$9,J117+K114,0)</f>
        <v>38102</v>
      </c>
      <c r="L117" s="1">
        <f>IF(L$4&lt;=核心参数输入!$B$9,K117+L114,0)</f>
        <v>38102</v>
      </c>
      <c r="M117" s="1">
        <f>IF(M$4&lt;=核心参数输入!$B$9,L117+M114,0)</f>
        <v>38102</v>
      </c>
      <c r="N117" s="1">
        <f>IF(N$4&lt;=核心参数输入!$B$9,M117+N114,0)</f>
        <v>38102</v>
      </c>
      <c r="O117" s="1">
        <f>IF(O$4&lt;=核心参数输入!$B$9,N117+O114,0)</f>
        <v>38102</v>
      </c>
      <c r="P117" s="1">
        <f>IF(P$4&lt;=核心参数输入!$B$9,O117+P114,0)</f>
        <v>38102</v>
      </c>
      <c r="Q117" s="1">
        <f>IF(Q$4&lt;=核心参数输入!$B$9,P117+Q114,0)</f>
        <v>38102</v>
      </c>
      <c r="R117" s="1">
        <f>IF(R$4&lt;=核心参数输入!$B$9,Q117+R114,0)</f>
        <v>38102</v>
      </c>
      <c r="S117" s="1">
        <f>IF(S$4&lt;=核心参数输入!$B$9,R117+S114,0)</f>
        <v>38102</v>
      </c>
      <c r="T117" s="1">
        <f>IF(T$4&lt;=核心参数输入!$B$9,S117+T114,0)</f>
        <v>38102</v>
      </c>
      <c r="U117" s="1">
        <f>IF(U$4&lt;=核心参数输入!$B$9,T117+U114,0)</f>
        <v>38102</v>
      </c>
      <c r="V117" s="1">
        <f>IF(V$4&lt;=核心参数输入!$B$9,U117+V114,0)</f>
        <v>38102</v>
      </c>
      <c r="W117" s="1">
        <f>IF(W$4&lt;=核心参数输入!$B$9,V117+W114,0)</f>
        <v>38102</v>
      </c>
      <c r="X117" s="1">
        <f>IF(X$4&lt;=核心参数输入!$B$9,W117+X114,0)</f>
        <v>38102</v>
      </c>
      <c r="Y117" s="1">
        <f>IF(Y$4&lt;=核心参数输入!$B$9,X117+Y114,0)</f>
        <v>0</v>
      </c>
      <c r="Z117" s="1">
        <f>IF(Z$4&lt;=核心参数输入!$B$9,Y117+Z114,0)</f>
        <v>0</v>
      </c>
      <c r="AA117" s="1">
        <f>IF(AA$4&lt;=核心参数输入!$B$9,Z117+AA114,0)</f>
        <v>0</v>
      </c>
      <c r="AB117" s="1">
        <f>IF(AB$4&lt;=核心参数输入!$B$9,AA117+AB114,0)</f>
        <v>0</v>
      </c>
      <c r="AC117" s="1">
        <f>IF(AC$4&lt;=核心参数输入!$B$9,AB117+AC114,0)</f>
        <v>0</v>
      </c>
      <c r="AD117" s="1">
        <f>IF(AD$4&lt;=核心参数输入!$B$9,AC117+AD114,0)</f>
        <v>0</v>
      </c>
      <c r="AE117" s="1">
        <f>IF(AE$4&lt;=核心参数输入!$B$9,AD117+AE114,0)</f>
        <v>0</v>
      </c>
      <c r="AF117" s="1">
        <f>IF(AF$4&lt;=核心参数输入!$B$9,AE117+AF114,0)</f>
        <v>0</v>
      </c>
      <c r="AG117" s="1">
        <f>IF(AG$4&lt;=核心参数输入!$B$9,AF117+AG114,0)</f>
        <v>0</v>
      </c>
      <c r="AH117" s="1">
        <f>IF(AH$4&lt;=核心参数输入!$B$9,AG117+AH114,0)</f>
        <v>0</v>
      </c>
    </row>
    <row r="118" spans="1:34" ht="21" customHeight="1">
      <c r="A118" s="11" t="s">
        <v>283</v>
      </c>
      <c r="B118" s="11" t="s">
        <v>54</v>
      </c>
      <c r="D118" s="1">
        <f>IF(D$4&lt;=核心参数输入!$B$9,D115-D114,0)</f>
        <v>-8000</v>
      </c>
      <c r="E118" s="1">
        <f>IF(E$4&lt;=核心参数输入!$B$9,E115-E114,0)</f>
        <v>-8652.5999999999985</v>
      </c>
      <c r="F118" s="1">
        <f>IF(F$4&lt;=核心参数输入!$B$9,F115-F114,0)</f>
        <v>-11914.800000000003</v>
      </c>
      <c r="G118" s="1">
        <f>IF(G$4&lt;=核心参数输入!$B$9,G115-G114,0)</f>
        <v>-9534.5999999999985</v>
      </c>
      <c r="H118" s="1">
        <f>IF(H$4&lt;=核心参数输入!$B$9,H115-H114,0)</f>
        <v>5658.7300045257134</v>
      </c>
      <c r="I118" s="1">
        <f>IF(I$4&lt;=核心参数输入!$B$9,I115-I114,0)</f>
        <v>2015.3393349261096</v>
      </c>
      <c r="J118" s="1">
        <f>IF(J$4&lt;=核心参数输入!$B$9,J115-J114,0)</f>
        <v>0</v>
      </c>
      <c r="K118" s="1">
        <f>IF(K$4&lt;=核心参数输入!$B$9,K115-K114,0)</f>
        <v>0</v>
      </c>
      <c r="L118" s="1">
        <f>IF(L$4&lt;=核心参数输入!$B$9,L115-L114,0)</f>
        <v>0</v>
      </c>
      <c r="M118" s="1">
        <f>IF(M$4&lt;=核心参数输入!$B$9,M115-M114,0)</f>
        <v>0</v>
      </c>
      <c r="N118" s="1">
        <f>IF(N$4&lt;=核心参数输入!$B$9,N115-N114,0)</f>
        <v>-1.3642420526593924E-12</v>
      </c>
      <c r="O118" s="1">
        <f>IF(O$4&lt;=核心参数输入!$B$9,O115-O114,0)</f>
        <v>753.37676657402562</v>
      </c>
      <c r="P118" s="1">
        <f>IF(P$4&lt;=核心参数输入!$B$9,P115-P114,0)</f>
        <v>765.6543895711618</v>
      </c>
      <c r="Q118" s="1">
        <f>IF(Q$4&lt;=核心参数输入!$B$9,Q115-Q114,0)</f>
        <v>778.08171634322582</v>
      </c>
      <c r="R118" s="1">
        <f>IF(R$4&lt;=核心参数输入!$B$9,R115-R114,0)</f>
        <v>790.66030323544044</v>
      </c>
      <c r="S118" s="1">
        <f>IF(S$4&lt;=核心参数输入!$B$9,S115-S114,0)</f>
        <v>803.3917161539797</v>
      </c>
      <c r="T118" s="1">
        <f>IF(T$4&lt;=核心参数输入!$B$9,T115-T114,0)</f>
        <v>816.27753043369694</v>
      </c>
      <c r="U118" s="1">
        <f>IF(U$4&lt;=核心参数输入!$B$9,U115-U114,0)</f>
        <v>829.31933069835895</v>
      </c>
      <c r="V118" s="1">
        <f>IF(V$4&lt;=核心参数输入!$B$9,V115-V114,0)</f>
        <v>842.51871071315315</v>
      </c>
      <c r="W118" s="1">
        <f>IF(W$4&lt;=核心参数输入!$B$9,W115-W114,0)</f>
        <v>855.87727322925605</v>
      </c>
      <c r="X118" s="1">
        <f>IF(X$4&lt;=核心参数输入!$B$9,X115-X114,0)</f>
        <v>1366.1608473651561</v>
      </c>
      <c r="Y118" s="1">
        <f>IF(Y$4&lt;=核心参数输入!$B$9,Y115-Y114,0)</f>
        <v>0</v>
      </c>
      <c r="Z118" s="1">
        <f>IF(Z$4&lt;=核心参数输入!$B$9,Z115-Z114,0)</f>
        <v>0</v>
      </c>
      <c r="AA118" s="1">
        <f>IF(AA$4&lt;=核心参数输入!$B$9,AA115-AA114,0)</f>
        <v>0</v>
      </c>
      <c r="AB118" s="1">
        <f>IF(AB$4&lt;=核心参数输入!$B$9,AB115-AB114,0)</f>
        <v>0</v>
      </c>
      <c r="AC118" s="1">
        <f>IF(AC$4&lt;=核心参数输入!$B$9,AC115-AC114,0)</f>
        <v>0</v>
      </c>
      <c r="AD118" s="1">
        <f>IF(AD$4&lt;=核心参数输入!$B$9,AD115-AD114,0)</f>
        <v>0</v>
      </c>
      <c r="AE118" s="1">
        <f>IF(AE$4&lt;=核心参数输入!$B$9,AE115-AE114,0)</f>
        <v>0</v>
      </c>
      <c r="AF118" s="1">
        <f>IF(AF$4&lt;=核心参数输入!$B$9,AF115-AF114,0)</f>
        <v>0</v>
      </c>
      <c r="AG118" s="1">
        <f>IF(AG$4&lt;=核心参数输入!$B$9,AG115-AG114,0)</f>
        <v>0</v>
      </c>
      <c r="AH118" s="1">
        <f>IF(AH$4&lt;=核心参数输入!$B$9,AH115-AH114,0)</f>
        <v>0</v>
      </c>
    </row>
    <row r="119" spans="1:34" ht="21" customHeight="1">
      <c r="A119" s="11" t="s">
        <v>284</v>
      </c>
      <c r="B119" s="11" t="s">
        <v>54</v>
      </c>
      <c r="D119" s="1">
        <f>IF(D$4&lt;=核心参数输入!$B$9,0,0)</f>
        <v>0</v>
      </c>
      <c r="E119" s="1">
        <f>IF(E$4&lt;=核心参数输入!$B$9,D124,0)</f>
        <v>0</v>
      </c>
      <c r="F119" s="1">
        <f>IF(F$4&lt;=核心参数输入!$B$9,E124,0)</f>
        <v>0</v>
      </c>
      <c r="G119" s="1">
        <f>IF(G$4&lt;=核心参数输入!$B$9,F124,0)</f>
        <v>0</v>
      </c>
      <c r="H119" s="1">
        <f>IF(H$4&lt;=核心参数输入!$B$9,G124,0)</f>
        <v>0</v>
      </c>
      <c r="I119" s="1">
        <f>IF(I$4&lt;=核心参数输入!$B$9,H124,0)</f>
        <v>556.73000452571341</v>
      </c>
      <c r="J119" s="1">
        <f>IF(J$4&lt;=核心参数输入!$B$9,I124,0)</f>
        <v>11148.721828795529</v>
      </c>
      <c r="K119" s="1">
        <f>IF(K$4&lt;=核心参数输入!$B$9,J124,0)</f>
        <v>18280.069480141017</v>
      </c>
      <c r="L119" s="1">
        <f>IF(L$4&lt;=核心参数输入!$B$9,K124,0)</f>
        <v>14051.273738061158</v>
      </c>
      <c r="M119" s="1">
        <f>IF(M$4&lt;=核心参数输入!$B$9,L124,0)</f>
        <v>10032.986155116592</v>
      </c>
      <c r="N119" s="1">
        <f>IF(N$4&lt;=核心参数输入!$B$9,M124,0)</f>
        <v>6206.5363244735727</v>
      </c>
      <c r="O119" s="1">
        <f>IF(O$4&lt;=核心参数输入!$B$9,N124,0)</f>
        <v>2572.069339451823</v>
      </c>
      <c r="P119" s="1">
        <f>IF(P$4&lt;=核心参数输入!$B$9,O124,0)</f>
        <v>3325.4461060258486</v>
      </c>
      <c r="Q119" s="1">
        <f>IF(Q$4&lt;=核心参数输入!$B$9,P124,0)</f>
        <v>4091.1004955970102</v>
      </c>
      <c r="R119" s="1">
        <f>IF(R$4&lt;=核心参数输入!$B$9,Q124,0)</f>
        <v>4869.1822119402359</v>
      </c>
      <c r="S119" s="1">
        <f>IF(S$4&lt;=核心参数输入!$B$9,R124,0)</f>
        <v>5659.8425151756765</v>
      </c>
      <c r="T119" s="1">
        <f>IF(T$4&lt;=核心参数输入!$B$9,S124,0)</f>
        <v>6463.2342313296558</v>
      </c>
      <c r="U119" s="1">
        <f>IF(U$4&lt;=核心参数输入!$B$9,T124,0)</f>
        <v>7279.5117617633532</v>
      </c>
      <c r="V119" s="1">
        <f>IF(V$4&lt;=核心参数输入!$B$9,U124,0)</f>
        <v>8108.8310924617126</v>
      </c>
      <c r="W119" s="1">
        <f>IF(W$4&lt;=核心参数输入!$B$9,V124,0)</f>
        <v>8951.3498031748659</v>
      </c>
      <c r="X119" s="1">
        <f>IF(X$4&lt;=核心参数输入!$B$9,W124,0)</f>
        <v>9807.2270764041223</v>
      </c>
      <c r="Y119" s="1">
        <f>IF(Y$4&lt;=核心参数输入!$B$9,X124,0)</f>
        <v>0</v>
      </c>
      <c r="Z119" s="1">
        <f>IF(Z$4&lt;=核心参数输入!$B$9,Y124,0)</f>
        <v>0</v>
      </c>
      <c r="AA119" s="1">
        <f>IF(AA$4&lt;=核心参数输入!$B$9,Z124,0)</f>
        <v>0</v>
      </c>
      <c r="AB119" s="1">
        <f>IF(AB$4&lt;=核心参数输入!$B$9,AA124,0)</f>
        <v>0</v>
      </c>
      <c r="AC119" s="1">
        <f>IF(AC$4&lt;=核心参数输入!$B$9,AB124,0)</f>
        <v>0</v>
      </c>
      <c r="AD119" s="1">
        <f>IF(AD$4&lt;=核心参数输入!$B$9,AC124,0)</f>
        <v>0</v>
      </c>
      <c r="AE119" s="1">
        <f>IF(AE$4&lt;=核心参数输入!$B$9,AD124,0)</f>
        <v>0</v>
      </c>
      <c r="AF119" s="1">
        <f>IF(AF$4&lt;=核心参数输入!$B$9,AE124,0)</f>
        <v>0</v>
      </c>
      <c r="AG119" s="1">
        <f>IF(AG$4&lt;=核心参数输入!$B$9,AF124,0)</f>
        <v>0</v>
      </c>
      <c r="AH119" s="1">
        <f>IF(AH$4&lt;=核心参数输入!$B$9,AG124,0)</f>
        <v>0</v>
      </c>
    </row>
    <row r="120" spans="1:34" ht="21" customHeight="1">
      <c r="A120" s="11" t="s">
        <v>285</v>
      </c>
      <c r="B120" s="11" t="s">
        <v>54</v>
      </c>
      <c r="D120" s="1">
        <f>IF(D$4&lt;=核心参数输入!$B$9,0,0)</f>
        <v>0</v>
      </c>
      <c r="E120" s="1">
        <f>IF(E$4&lt;=核心参数输入!$B$9,D125,0)</f>
        <v>0</v>
      </c>
      <c r="F120" s="1">
        <f>IF(F$4&lt;=核心参数输入!$B$9,E125,0)</f>
        <v>0</v>
      </c>
      <c r="G120" s="1">
        <f>IF(G$4&lt;=核心参数输入!$B$9,F125,0)</f>
        <v>0</v>
      </c>
      <c r="H120" s="1">
        <f>IF(H$4&lt;=核心参数输入!$B$9,G125,0)</f>
        <v>5102</v>
      </c>
      <c r="I120" s="1">
        <f>IF(I$4&lt;=核心参数输入!$B$9,H125,0)</f>
        <v>0</v>
      </c>
      <c r="J120" s="1">
        <f>IF(J$4&lt;=核心参数输入!$B$9,I125,0)</f>
        <v>0</v>
      </c>
      <c r="K120" s="1">
        <f>IF(K$4&lt;=核心参数输入!$B$9,J125,0)</f>
        <v>0</v>
      </c>
      <c r="L120" s="1">
        <f>IF(L$4&lt;=核心参数输入!$B$9,K125,0)</f>
        <v>0</v>
      </c>
      <c r="M120" s="1">
        <f>IF(M$4&lt;=核心参数输入!$B$9,L125,0)</f>
        <v>0</v>
      </c>
      <c r="N120" s="1">
        <f>IF(N$4&lt;=核心参数输入!$B$9,M125,0)</f>
        <v>0</v>
      </c>
      <c r="O120" s="1">
        <f>IF(O$4&lt;=核心参数输入!$B$9,N125,0)</f>
        <v>0</v>
      </c>
      <c r="P120" s="1">
        <f>IF(P$4&lt;=核心参数输入!$B$9,O125,0)</f>
        <v>0</v>
      </c>
      <c r="Q120" s="1">
        <f>IF(Q$4&lt;=核心参数输入!$B$9,P125,0)</f>
        <v>0</v>
      </c>
      <c r="R120" s="1">
        <f>IF(R$4&lt;=核心参数输入!$B$9,Q125,0)</f>
        <v>0</v>
      </c>
      <c r="S120" s="1">
        <f>IF(S$4&lt;=核心参数输入!$B$9,R125,0)</f>
        <v>0</v>
      </c>
      <c r="T120" s="1">
        <f>IF(T$4&lt;=核心参数输入!$B$9,S125,0)</f>
        <v>0</v>
      </c>
      <c r="U120" s="1">
        <f>IF(U$4&lt;=核心参数输入!$B$9,T125,0)</f>
        <v>0</v>
      </c>
      <c r="V120" s="1">
        <f>IF(V$4&lt;=核心参数输入!$B$9,U125,0)</f>
        <v>0</v>
      </c>
      <c r="W120" s="1">
        <f>IF(W$4&lt;=核心参数输入!$B$9,V125,0)</f>
        <v>0</v>
      </c>
      <c r="X120" s="1">
        <f>IF(X$4&lt;=核心参数输入!$B$9,W125,0)</f>
        <v>0</v>
      </c>
      <c r="Y120" s="1">
        <f>IF(Y$4&lt;=核心参数输入!$B$9,X125,0)</f>
        <v>0</v>
      </c>
      <c r="Z120" s="1">
        <f>IF(Z$4&lt;=核心参数输入!$B$9,Y125,0)</f>
        <v>0</v>
      </c>
      <c r="AA120" s="1">
        <f>IF(AA$4&lt;=核心参数输入!$B$9,Z125,0)</f>
        <v>0</v>
      </c>
      <c r="AB120" s="1">
        <f>IF(AB$4&lt;=核心参数输入!$B$9,AA125,0)</f>
        <v>0</v>
      </c>
      <c r="AC120" s="1">
        <f>IF(AC$4&lt;=核心参数输入!$B$9,AB125,0)</f>
        <v>0</v>
      </c>
      <c r="AD120" s="1">
        <f>IF(AD$4&lt;=核心参数输入!$B$9,AC125,0)</f>
        <v>0</v>
      </c>
      <c r="AE120" s="1">
        <f>IF(AE$4&lt;=核心参数输入!$B$9,AD125,0)</f>
        <v>0</v>
      </c>
      <c r="AF120" s="1">
        <f>IF(AF$4&lt;=核心参数输入!$B$9,AE125,0)</f>
        <v>0</v>
      </c>
      <c r="AG120" s="1">
        <f>IF(AG$4&lt;=核心参数输入!$B$9,AF125,0)</f>
        <v>0</v>
      </c>
      <c r="AH120" s="1">
        <f>IF(AH$4&lt;=核心参数输入!$B$9,AG125,0)</f>
        <v>0</v>
      </c>
    </row>
    <row r="121" spans="1:34" ht="21" customHeight="1">
      <c r="A121" s="11" t="s">
        <v>286</v>
      </c>
      <c r="B121" s="11" t="s">
        <v>54</v>
      </c>
      <c r="D121" s="1">
        <f>IF(D$4&lt;=核心参数输入!$B$9,MAX(0,-(D119+D111-D120)),0)</f>
        <v>8000</v>
      </c>
      <c r="E121" s="1">
        <f>IF(E$4&lt;=核心参数输入!$B$9,MAX(0,-(E119+E111-E120)),0)</f>
        <v>8652.5999999999985</v>
      </c>
      <c r="F121" s="1">
        <f>IF(F$4&lt;=核心参数输入!$B$9,MAX(0,-(F119+F111-F120)),0)</f>
        <v>11914.800000000003</v>
      </c>
      <c r="G121" s="1">
        <f>IF(G$4&lt;=核心参数输入!$B$9,MAX(0,-(G119+G111-G120)),0)</f>
        <v>9534.5999999999985</v>
      </c>
      <c r="H121" s="1">
        <f>IF(H$4&lt;=核心参数输入!$B$9,MAX(0,-(H119+H111-H120)),0)</f>
        <v>0</v>
      </c>
      <c r="I121" s="1">
        <f>IF(I$4&lt;=核心参数输入!$B$9,MAX(0,-(I119+I111-I120)),0)</f>
        <v>0</v>
      </c>
      <c r="J121" s="1">
        <f>IF(J$4&lt;=核心参数输入!$B$9,MAX(0,-(J119+J111-J120)),0)</f>
        <v>0</v>
      </c>
      <c r="K121" s="1">
        <f>IF(K$4&lt;=核心参数输入!$B$9,MAX(0,-(K119+K111-K120)),0)</f>
        <v>0</v>
      </c>
      <c r="L121" s="1">
        <f>IF(L$4&lt;=核心参数输入!$B$9,MAX(0,-(L119+L111-L120)),0)</f>
        <v>0</v>
      </c>
      <c r="M121" s="1">
        <f>IF(M$4&lt;=核心参数输入!$B$9,MAX(0,-(M119+M111-M120)),0)</f>
        <v>0</v>
      </c>
      <c r="N121" s="1">
        <f>IF(N$4&lt;=核心参数输入!$B$9,MAX(0,-(N119+N111-N120)),0)</f>
        <v>0</v>
      </c>
      <c r="O121" s="1">
        <f>IF(O$4&lt;=核心参数输入!$B$9,MAX(0,-(O119+O111-O120)),0)</f>
        <v>0</v>
      </c>
      <c r="P121" s="1">
        <f>IF(P$4&lt;=核心参数输入!$B$9,MAX(0,-(P119+P111-P120)),0)</f>
        <v>0</v>
      </c>
      <c r="Q121" s="1">
        <f>IF(Q$4&lt;=核心参数输入!$B$9,MAX(0,-(Q119+Q111-Q120)),0)</f>
        <v>0</v>
      </c>
      <c r="R121" s="1">
        <f>IF(R$4&lt;=核心参数输入!$B$9,MAX(0,-(R119+R111-R120)),0)</f>
        <v>0</v>
      </c>
      <c r="S121" s="1">
        <f>IF(S$4&lt;=核心参数输入!$B$9,MAX(0,-(S119+S111-S120)),0)</f>
        <v>0</v>
      </c>
      <c r="T121" s="1">
        <f>IF(T$4&lt;=核心参数输入!$B$9,MAX(0,-(T119+T111-T120)),0)</f>
        <v>0</v>
      </c>
      <c r="U121" s="1">
        <f>IF(U$4&lt;=核心参数输入!$B$9,MAX(0,-(U119+U111-U120)),0)</f>
        <v>0</v>
      </c>
      <c r="V121" s="1">
        <f>IF(V$4&lt;=核心参数输入!$B$9,MAX(0,-(V119+V111-V120)),0)</f>
        <v>0</v>
      </c>
      <c r="W121" s="1">
        <f>IF(W$4&lt;=核心参数输入!$B$9,MAX(0,-(W119+W111-W120)),0)</f>
        <v>0</v>
      </c>
      <c r="X121" s="1">
        <f>IF(X$4&lt;=核心参数输入!$B$9,MAX(0,-(X119+X111-X120)),0)</f>
        <v>0</v>
      </c>
      <c r="Y121" s="1">
        <f>IF(Y$4&lt;=核心参数输入!$B$9,MAX(0,-(Y119+Y111-Y120)),0)</f>
        <v>0</v>
      </c>
      <c r="Z121" s="1">
        <f>IF(Z$4&lt;=核心参数输入!$B$9,MAX(0,-(Z119+Z111-Z120)),0)</f>
        <v>0</v>
      </c>
      <c r="AA121" s="1">
        <f>IF(AA$4&lt;=核心参数输入!$B$9,MAX(0,-(AA119+AA111-AA120)),0)</f>
        <v>0</v>
      </c>
      <c r="AB121" s="1">
        <f>IF(AB$4&lt;=核心参数输入!$B$9,MAX(0,-(AB119+AB111-AB120)),0)</f>
        <v>0</v>
      </c>
      <c r="AC121" s="1">
        <f>IF(AC$4&lt;=核心参数输入!$B$9,MAX(0,-(AC119+AC111-AC120)),0)</f>
        <v>0</v>
      </c>
      <c r="AD121" s="1">
        <f>IF(AD$4&lt;=核心参数输入!$B$9,MAX(0,-(AD119+AD111-AD120)),0)</f>
        <v>0</v>
      </c>
      <c r="AE121" s="1">
        <f>IF(AE$4&lt;=核心参数输入!$B$9,MAX(0,-(AE119+AE111-AE120)),0)</f>
        <v>0</v>
      </c>
      <c r="AF121" s="1">
        <f>IF(AF$4&lt;=核心参数输入!$B$9,MAX(0,-(AF119+AF111-AF120)),0)</f>
        <v>0</v>
      </c>
      <c r="AG121" s="1">
        <f>IF(AG$4&lt;=核心参数输入!$B$9,MAX(0,-(AG119+AG111-AG120)),0)</f>
        <v>0</v>
      </c>
      <c r="AH121" s="1">
        <f>IF(AH$4&lt;=核心参数输入!$B$9,MAX(0,-(AH119+AH111-AH120)),0)</f>
        <v>0</v>
      </c>
    </row>
    <row r="122" spans="1:34" ht="21" customHeight="1">
      <c r="A122" s="11" t="s">
        <v>287</v>
      </c>
      <c r="B122" s="11" t="s">
        <v>54</v>
      </c>
      <c r="D122" s="1">
        <f>IF(D$4&lt;=核心参数输入!$B$9,MIN(D121,MAX(0,核心参数输入!$B$61-0)),0)</f>
        <v>8000</v>
      </c>
      <c r="E122" s="1">
        <f>IF(E$4&lt;=核心参数输入!$B$9,MIN(E121,MAX(0,核心参数输入!$B$61-D127)),0)</f>
        <v>8652.5999999999985</v>
      </c>
      <c r="F122" s="1">
        <f>IF(F$4&lt;=核心参数输入!$B$9,MIN(F121,MAX(0,核心参数输入!$B$61-E127)),0)</f>
        <v>11914.800000000003</v>
      </c>
      <c r="G122" s="1">
        <f>IF(G$4&lt;=核心参数输入!$B$9,MIN(G121,MAX(0,核心参数输入!$B$61-F127)),0)</f>
        <v>4432.5999999999985</v>
      </c>
      <c r="H122" s="1">
        <f>IF(H$4&lt;=核心参数输入!$B$9,MIN(H121,MAX(0,核心参数输入!$B$61-G127)),0)</f>
        <v>0</v>
      </c>
      <c r="I122" s="1">
        <f>IF(I$4&lt;=核心参数输入!$B$9,MIN(I121,MAX(0,核心参数输入!$B$61-H127)),0)</f>
        <v>0</v>
      </c>
      <c r="J122" s="1">
        <f>IF(J$4&lt;=核心参数输入!$B$9,MIN(J121,MAX(0,核心参数输入!$B$61-I127)),0)</f>
        <v>0</v>
      </c>
      <c r="K122" s="1">
        <f>IF(K$4&lt;=核心参数输入!$B$9,MIN(K121,MAX(0,核心参数输入!$B$61-J127)),0)</f>
        <v>0</v>
      </c>
      <c r="L122" s="1">
        <f>IF(L$4&lt;=核心参数输入!$B$9,MIN(L121,MAX(0,核心参数输入!$B$61-K127)),0)</f>
        <v>0</v>
      </c>
      <c r="M122" s="1">
        <f>IF(M$4&lt;=核心参数输入!$B$9,MIN(M121,MAX(0,核心参数输入!$B$61-L127)),0)</f>
        <v>0</v>
      </c>
      <c r="N122" s="1">
        <f>IF(N$4&lt;=核心参数输入!$B$9,MIN(N121,MAX(0,核心参数输入!$B$61-M127)),0)</f>
        <v>0</v>
      </c>
      <c r="O122" s="1">
        <f>IF(O$4&lt;=核心参数输入!$B$9,MIN(O121,MAX(0,核心参数输入!$B$61-N127)),0)</f>
        <v>0</v>
      </c>
      <c r="P122" s="1">
        <f>IF(P$4&lt;=核心参数输入!$B$9,MIN(P121,MAX(0,核心参数输入!$B$61-O127)),0)</f>
        <v>0</v>
      </c>
      <c r="Q122" s="1">
        <f>IF(Q$4&lt;=核心参数输入!$B$9,MIN(Q121,MAX(0,核心参数输入!$B$61-P127)),0)</f>
        <v>0</v>
      </c>
      <c r="R122" s="1">
        <f>IF(R$4&lt;=核心参数输入!$B$9,MIN(R121,MAX(0,核心参数输入!$B$61-Q127)),0)</f>
        <v>0</v>
      </c>
      <c r="S122" s="1">
        <f>IF(S$4&lt;=核心参数输入!$B$9,MIN(S121,MAX(0,核心参数输入!$B$61-R127)),0)</f>
        <v>0</v>
      </c>
      <c r="T122" s="1">
        <f>IF(T$4&lt;=核心参数输入!$B$9,MIN(T121,MAX(0,核心参数输入!$B$61-S127)),0)</f>
        <v>0</v>
      </c>
      <c r="U122" s="1">
        <f>IF(U$4&lt;=核心参数输入!$B$9,MIN(U121,MAX(0,核心参数输入!$B$61-T127)),0)</f>
        <v>0</v>
      </c>
      <c r="V122" s="1">
        <f>IF(V$4&lt;=核心参数输入!$B$9,MIN(V121,MAX(0,核心参数输入!$B$61-U127)),0)</f>
        <v>0</v>
      </c>
      <c r="W122" s="1">
        <f>IF(W$4&lt;=核心参数输入!$B$9,MIN(W121,MAX(0,核心参数输入!$B$61-V127)),0)</f>
        <v>0</v>
      </c>
      <c r="X122" s="1">
        <f>IF(X$4&lt;=核心参数输入!$B$9,MIN(X121,MAX(0,核心参数输入!$B$61-W127)),0)</f>
        <v>0</v>
      </c>
      <c r="Y122" s="1">
        <f>IF(Y$4&lt;=核心参数输入!$B$9,MIN(Y121,MAX(0,核心参数输入!$B$61-X127)),0)</f>
        <v>0</v>
      </c>
      <c r="Z122" s="1">
        <f>IF(Z$4&lt;=核心参数输入!$B$9,MIN(Z121,MAX(0,核心参数输入!$B$61-Y127)),0)</f>
        <v>0</v>
      </c>
      <c r="AA122" s="1">
        <f>IF(AA$4&lt;=核心参数输入!$B$9,MIN(AA121,MAX(0,核心参数输入!$B$61-Z127)),0)</f>
        <v>0</v>
      </c>
      <c r="AB122" s="1">
        <f>IF(AB$4&lt;=核心参数输入!$B$9,MIN(AB121,MAX(0,核心参数输入!$B$61-AA127)),0)</f>
        <v>0</v>
      </c>
      <c r="AC122" s="1">
        <f>IF(AC$4&lt;=核心参数输入!$B$9,MIN(AC121,MAX(0,核心参数输入!$B$61-AB127)),0)</f>
        <v>0</v>
      </c>
      <c r="AD122" s="1">
        <f>IF(AD$4&lt;=核心参数输入!$B$9,MIN(AD121,MAX(0,核心参数输入!$B$61-AC127)),0)</f>
        <v>0</v>
      </c>
      <c r="AE122" s="1">
        <f>IF(AE$4&lt;=核心参数输入!$B$9,MIN(AE121,MAX(0,核心参数输入!$B$61-AD127)),0)</f>
        <v>0</v>
      </c>
      <c r="AF122" s="1">
        <f>IF(AF$4&lt;=核心参数输入!$B$9,MIN(AF121,MAX(0,核心参数输入!$B$61-AE127)),0)</f>
        <v>0</v>
      </c>
      <c r="AG122" s="1">
        <f>IF(AG$4&lt;=核心参数输入!$B$9,MIN(AG121,MAX(0,核心参数输入!$B$61-AF127)),0)</f>
        <v>0</v>
      </c>
      <c r="AH122" s="1">
        <f>IF(AH$4&lt;=核心参数输入!$B$9,MIN(AH121,MAX(0,核心参数输入!$B$61-AG127)),0)</f>
        <v>0</v>
      </c>
    </row>
    <row r="123" spans="1:34" ht="21" customHeight="1">
      <c r="A123" s="11" t="s">
        <v>288</v>
      </c>
      <c r="B123" s="11" t="s">
        <v>54</v>
      </c>
      <c r="D123" s="1">
        <f>IF(D$4&lt;=核心参数输入!$B$9,IF(D126&gt;0.01,0,MAX(0,D119+D111-D120+D122-D112)),0)</f>
        <v>0</v>
      </c>
      <c r="E123" s="1">
        <f>IF(E$4&lt;=核心参数输入!$B$9,IF(E126&gt;0.01,0,MAX(0,E119+E111-E120+E122-E112)),0)</f>
        <v>0</v>
      </c>
      <c r="F123" s="1">
        <f>IF(F$4&lt;=核心参数输入!$B$9,IF(F126&gt;0.01,0,MAX(0,F119+F111-F120+F122-F112)),0)</f>
        <v>0</v>
      </c>
      <c r="G123" s="1">
        <f>IF(G$4&lt;=核心参数输入!$B$9,IF(G126&gt;0.01,0,MAX(0,G119+G111-G120+G122-G112)),0)</f>
        <v>0</v>
      </c>
      <c r="H123" s="1">
        <f>IF(H$4&lt;=核心参数输入!$B$9,IF(H126&gt;0.01,0,MAX(0,H119+H111-H120+H122-H112)),0)</f>
        <v>0</v>
      </c>
      <c r="I123" s="1">
        <f>IF(I$4&lt;=核心参数输入!$B$9,IF(I126&gt;0.01,0,MAX(0,I119+I111-I120+I122-I112)),0)</f>
        <v>0</v>
      </c>
      <c r="J123" s="1">
        <f>IF(J$4&lt;=核心参数输入!$B$9,IF(J126&gt;0.01,0,MAX(0,J119+J111-J120+J122-J112)),0)</f>
        <v>0</v>
      </c>
      <c r="K123" s="1">
        <f>IF(K$4&lt;=核心参数输入!$B$9,IF(K126&gt;0.01,0,MAX(0,K119+K111-K120+K122-K112)),0)</f>
        <v>0</v>
      </c>
      <c r="L123" s="1">
        <f>IF(L$4&lt;=核心参数输入!$B$9,IF(L126&gt;0.01,0,MAX(0,L119+L111-L120+L122-L112)),0)</f>
        <v>0</v>
      </c>
      <c r="M123" s="1">
        <f>IF(M$4&lt;=核心参数输入!$B$9,IF(M126&gt;0.01,0,MAX(0,M119+M111-M120+M122-M112)),0)</f>
        <v>0</v>
      </c>
      <c r="N123" s="1">
        <f>IF(N$4&lt;=核心参数输入!$B$9,IF(N126&gt;0.01,0,MAX(0,N119+N111-N120+N122-N112)),0)</f>
        <v>0</v>
      </c>
      <c r="O123" s="1">
        <f>IF(O$4&lt;=核心参数输入!$B$9,IF(O126&gt;0.01,0,MAX(0,O119+O111-O120+O122-O112)),0)</f>
        <v>0</v>
      </c>
      <c r="P123" s="1">
        <f>IF(P$4&lt;=核心参数输入!$B$9,IF(P126&gt;0.01,0,MAX(0,P119+P111-P120+P122-P112)),0)</f>
        <v>0</v>
      </c>
      <c r="Q123" s="1">
        <f>IF(Q$4&lt;=核心参数输入!$B$9,IF(Q126&gt;0.01,0,MAX(0,Q119+Q111-Q120+Q122-Q112)),0)</f>
        <v>0</v>
      </c>
      <c r="R123" s="1">
        <f>IF(R$4&lt;=核心参数输入!$B$9,IF(R126&gt;0.01,0,MAX(0,R119+R111-R120+R122-R112)),0)</f>
        <v>0</v>
      </c>
      <c r="S123" s="1">
        <f>IF(S$4&lt;=核心参数输入!$B$9,IF(S126&gt;0.01,0,MAX(0,S119+S111-S120+S122-S112)),0)</f>
        <v>0</v>
      </c>
      <c r="T123" s="1">
        <f>IF(T$4&lt;=核心参数输入!$B$9,IF(T126&gt;0.01,0,MAX(0,T119+T111-T120+T122-T112)),0)</f>
        <v>0</v>
      </c>
      <c r="U123" s="1">
        <f>IF(U$4&lt;=核心参数输入!$B$9,IF(U126&gt;0.01,0,MAX(0,U119+U111-U120+U122-U112)),0)</f>
        <v>0</v>
      </c>
      <c r="V123" s="1">
        <f>IF(V$4&lt;=核心参数输入!$B$9,IF(V126&gt;0.01,0,MAX(0,V119+V111-V120+V122-V112)),0)</f>
        <v>0</v>
      </c>
      <c r="W123" s="1">
        <f>IF(W$4&lt;=核心参数输入!$B$9,IF(W126&gt;0.01,0,MAX(0,W119+W111-W120+W122-W112)),0)</f>
        <v>0</v>
      </c>
      <c r="X123" s="1">
        <f>IF(X$4&lt;=核心参数输入!$B$9,IF(X126&gt;0.01,0,MAX(0,X119+X111-X120+X122-X112)),0)</f>
        <v>0</v>
      </c>
      <c r="Y123" s="1">
        <f>IF(Y$4&lt;=核心参数输入!$B$9,IF(Y126&gt;0.01,0,MAX(0,Y119+Y111-Y120+Y122-Y112)),0)</f>
        <v>0</v>
      </c>
      <c r="Z123" s="1">
        <f>IF(Z$4&lt;=核心参数输入!$B$9,IF(Z126&gt;0.01,0,MAX(0,Z119+Z111-Z120+Z122-Z112)),0)</f>
        <v>0</v>
      </c>
      <c r="AA123" s="1">
        <f>IF(AA$4&lt;=核心参数输入!$B$9,IF(AA126&gt;0.01,0,MAX(0,AA119+AA111-AA120+AA122-AA112)),0)</f>
        <v>0</v>
      </c>
      <c r="AB123" s="1">
        <f>IF(AB$4&lt;=核心参数输入!$B$9,IF(AB126&gt;0.01,0,MAX(0,AB119+AB111-AB120+AB122-AB112)),0)</f>
        <v>0</v>
      </c>
      <c r="AC123" s="1">
        <f>IF(AC$4&lt;=核心参数输入!$B$9,IF(AC126&gt;0.01,0,MAX(0,AC119+AC111-AC120+AC122-AC112)),0)</f>
        <v>0</v>
      </c>
      <c r="AD123" s="1">
        <f>IF(AD$4&lt;=核心参数输入!$B$9,IF(AD126&gt;0.01,0,MAX(0,AD119+AD111-AD120+AD122-AD112)),0)</f>
        <v>0</v>
      </c>
      <c r="AE123" s="1">
        <f>IF(AE$4&lt;=核心参数输入!$B$9,IF(AE126&gt;0.01,0,MAX(0,AE119+AE111-AE120+AE122-AE112)),0)</f>
        <v>0</v>
      </c>
      <c r="AF123" s="1">
        <f>IF(AF$4&lt;=核心参数输入!$B$9,IF(AF126&gt;0.01,0,MAX(0,AF119+AF111-AF120+AF122-AF112)),0)</f>
        <v>0</v>
      </c>
      <c r="AG123" s="1">
        <f>IF(AG$4&lt;=核心参数输入!$B$9,IF(AG126&gt;0.01,0,MAX(0,AG119+AG111-AG120+AG122-AG112)),0)</f>
        <v>0</v>
      </c>
      <c r="AH123" s="1">
        <f>IF(AH$4&lt;=核心参数输入!$B$9,IF(AH126&gt;0.01,0,MAX(0,AH119+AH111-AH120+AH122-AH112)),0)</f>
        <v>0</v>
      </c>
    </row>
    <row r="124" spans="1:34" ht="21" customHeight="1">
      <c r="A124" s="11" t="s">
        <v>289</v>
      </c>
      <c r="B124" s="11" t="s">
        <v>54</v>
      </c>
      <c r="D124" s="1">
        <f>IF(D$4&lt;=核心参数输入!$B$9,MAX(0,D119+D111-D120+D122)-D123,0)</f>
        <v>0</v>
      </c>
      <c r="E124" s="1">
        <f>IF(E$4&lt;=核心参数输入!$B$9,MAX(0,E119+E111-E120+E122)-E123,0)</f>
        <v>0</v>
      </c>
      <c r="F124" s="1">
        <f>IF(F$4&lt;=核心参数输入!$B$9,MAX(0,F119+F111-F120+F122)-F123,0)</f>
        <v>0</v>
      </c>
      <c r="G124" s="1">
        <f>IF(G$4&lt;=核心参数输入!$B$9,MAX(0,G119+G111-G120+G122)-G123,0)</f>
        <v>0</v>
      </c>
      <c r="H124" s="1">
        <f>IF(H$4&lt;=核心参数输入!$B$9,MAX(0,H119+H111-H120+H122)-H123,0)</f>
        <v>556.73000452571341</v>
      </c>
      <c r="I124" s="1">
        <f>IF(I$4&lt;=核心参数输入!$B$9,MAX(0,I119+I111-I120+I122)-I123,0)</f>
        <v>11148.721828795529</v>
      </c>
      <c r="J124" s="1">
        <f>IF(J$4&lt;=核心参数输入!$B$9,MAX(0,J119+J111-J120+J122)-J123,0)</f>
        <v>18280.069480141017</v>
      </c>
      <c r="K124" s="1">
        <f>IF(K$4&lt;=核心参数输入!$B$9,MAX(0,K119+K111-K120+K122)-K123,0)</f>
        <v>14051.273738061158</v>
      </c>
      <c r="L124" s="1">
        <f>IF(L$4&lt;=核心参数输入!$B$9,MAX(0,L119+L111-L120+L122)-L123,0)</f>
        <v>10032.986155116592</v>
      </c>
      <c r="M124" s="1">
        <f>IF(M$4&lt;=核心参数输入!$B$9,MAX(0,M119+M111-M120+M122)-M123,0)</f>
        <v>6206.5363244735727</v>
      </c>
      <c r="N124" s="1">
        <f>IF(N$4&lt;=核心参数输入!$B$9,MAX(0,N119+N111-N120+N122)-N123,0)</f>
        <v>2572.069339451823</v>
      </c>
      <c r="O124" s="1">
        <f>IF(O$4&lt;=核心参数输入!$B$9,MAX(0,O119+O111-O120+O122)-O123,0)</f>
        <v>3325.4461060258486</v>
      </c>
      <c r="P124" s="1">
        <f>IF(P$4&lt;=核心参数输入!$B$9,MAX(0,P119+P111-P120+P122)-P123,0)</f>
        <v>4091.1004955970102</v>
      </c>
      <c r="Q124" s="1">
        <f>IF(Q$4&lt;=核心参数输入!$B$9,MAX(0,Q119+Q111-Q120+Q122)-Q123,0)</f>
        <v>4869.1822119402359</v>
      </c>
      <c r="R124" s="1">
        <f>IF(R$4&lt;=核心参数输入!$B$9,MAX(0,R119+R111-R120+R122)-R123,0)</f>
        <v>5659.8425151756765</v>
      </c>
      <c r="S124" s="1">
        <f>IF(S$4&lt;=核心参数输入!$B$9,MAX(0,S119+S111-S120+S122)-S123,0)</f>
        <v>6463.2342313296558</v>
      </c>
      <c r="T124" s="1">
        <f>IF(T$4&lt;=核心参数输入!$B$9,MAX(0,T119+T111-T120+T122)-T123,0)</f>
        <v>7279.5117617633532</v>
      </c>
      <c r="U124" s="1">
        <f>IF(U$4&lt;=核心参数输入!$B$9,MAX(0,U119+U111-U120+U122)-U123,0)</f>
        <v>8108.8310924617126</v>
      </c>
      <c r="V124" s="1">
        <f>IF(V$4&lt;=核心参数输入!$B$9,MAX(0,V119+V111-V120+V122)-V123,0)</f>
        <v>8951.3498031748659</v>
      </c>
      <c r="W124" s="1">
        <f>IF(W$4&lt;=核心参数输入!$B$9,MAX(0,W119+W111-W120+W122)-W123,0)</f>
        <v>9807.2270764041223</v>
      </c>
      <c r="X124" s="1">
        <f>IF(X$4&lt;=核心参数输入!$B$9,MAX(0,X119+X111-X120+X122)-X123,0)</f>
        <v>11173.387923769278</v>
      </c>
      <c r="Y124" s="1">
        <f>IF(Y$4&lt;=核心参数输入!$B$9,MAX(0,Y119+Y111-Y120+Y122)-Y123,0)</f>
        <v>0</v>
      </c>
      <c r="Z124" s="1">
        <f>IF(Z$4&lt;=核心参数输入!$B$9,MAX(0,Z119+Z111-Z120+Z122)-Z123,0)</f>
        <v>0</v>
      </c>
      <c r="AA124" s="1">
        <f>IF(AA$4&lt;=核心参数输入!$B$9,MAX(0,AA119+AA111-AA120+AA122)-AA123,0)</f>
        <v>0</v>
      </c>
      <c r="AB124" s="1">
        <f>IF(AB$4&lt;=核心参数输入!$B$9,MAX(0,AB119+AB111-AB120+AB122)-AB123,0)</f>
        <v>0</v>
      </c>
      <c r="AC124" s="1">
        <f>IF(AC$4&lt;=核心参数输入!$B$9,MAX(0,AC119+AC111-AC120+AC122)-AC123,0)</f>
        <v>0</v>
      </c>
      <c r="AD124" s="1">
        <f>IF(AD$4&lt;=核心参数输入!$B$9,MAX(0,AD119+AD111-AD120+AD122)-AD123,0)</f>
        <v>0</v>
      </c>
      <c r="AE124" s="1">
        <f>IF(AE$4&lt;=核心参数输入!$B$9,MAX(0,AE119+AE111-AE120+AE122)-AE123,0)</f>
        <v>0</v>
      </c>
      <c r="AF124" s="1">
        <f>IF(AF$4&lt;=核心参数输入!$B$9,MAX(0,AF119+AF111-AF120+AF122)-AF123,0)</f>
        <v>0</v>
      </c>
      <c r="AG124" s="1">
        <f>IF(AG$4&lt;=核心参数输入!$B$9,MAX(0,AG119+AG111-AG120+AG122)-AG123,0)</f>
        <v>0</v>
      </c>
      <c r="AH124" s="1">
        <f>IF(AH$4&lt;=核心参数输入!$B$9,MAX(0,AH119+AH111-AH120+AH122)-AH123,0)</f>
        <v>0</v>
      </c>
    </row>
    <row r="125" spans="1:34" ht="21" customHeight="1">
      <c r="A125" s="11" t="s">
        <v>290</v>
      </c>
      <c r="B125" s="11" t="s">
        <v>54</v>
      </c>
      <c r="D125" s="1">
        <f>IF(D$4&lt;=核心参数输入!$B$9,MAX(0,-(D119+D111-D120+D122)),0)</f>
        <v>0</v>
      </c>
      <c r="E125" s="1">
        <f>IF(E$4&lt;=核心参数输入!$B$9,MAX(0,-(E119+E111-E120+E122)),0)</f>
        <v>0</v>
      </c>
      <c r="F125" s="1">
        <f>IF(F$4&lt;=核心参数输入!$B$9,MAX(0,-(F119+F111-F120+F122)),0)</f>
        <v>0</v>
      </c>
      <c r="G125" s="1">
        <f>IF(G$4&lt;=核心参数输入!$B$9,MAX(0,-(G119+G111-G120+G122)),0)</f>
        <v>5102</v>
      </c>
      <c r="H125" s="1">
        <f>IF(H$4&lt;=核心参数输入!$B$9,MAX(0,-(H119+H111-H120+H122)),0)</f>
        <v>0</v>
      </c>
      <c r="I125" s="1">
        <f>IF(I$4&lt;=核心参数输入!$B$9,MAX(0,-(I119+I111-I120+I122)),0)</f>
        <v>0</v>
      </c>
      <c r="J125" s="1">
        <f>IF(J$4&lt;=核心参数输入!$B$9,MAX(0,-(J119+J111-J120+J122)),0)</f>
        <v>0</v>
      </c>
      <c r="K125" s="1">
        <f>IF(K$4&lt;=核心参数输入!$B$9,MAX(0,-(K119+K111-K120+K122)),0)</f>
        <v>0</v>
      </c>
      <c r="L125" s="1">
        <f>IF(L$4&lt;=核心参数输入!$B$9,MAX(0,-(L119+L111-L120+L122)),0)</f>
        <v>0</v>
      </c>
      <c r="M125" s="1">
        <f>IF(M$4&lt;=核心参数输入!$B$9,MAX(0,-(M119+M111-M120+M122)),0)</f>
        <v>0</v>
      </c>
      <c r="N125" s="1">
        <f>IF(N$4&lt;=核心参数输入!$B$9,MAX(0,-(N119+N111-N120+N122)),0)</f>
        <v>0</v>
      </c>
      <c r="O125" s="1">
        <f>IF(O$4&lt;=核心参数输入!$B$9,MAX(0,-(O119+O111-O120+O122)),0)</f>
        <v>0</v>
      </c>
      <c r="P125" s="1">
        <f>IF(P$4&lt;=核心参数输入!$B$9,MAX(0,-(P119+P111-P120+P122)),0)</f>
        <v>0</v>
      </c>
      <c r="Q125" s="1">
        <f>IF(Q$4&lt;=核心参数输入!$B$9,MAX(0,-(Q119+Q111-Q120+Q122)),0)</f>
        <v>0</v>
      </c>
      <c r="R125" s="1">
        <f>IF(R$4&lt;=核心参数输入!$B$9,MAX(0,-(R119+R111-R120+R122)),0)</f>
        <v>0</v>
      </c>
      <c r="S125" s="1">
        <f>IF(S$4&lt;=核心参数输入!$B$9,MAX(0,-(S119+S111-S120+S122)),0)</f>
        <v>0</v>
      </c>
      <c r="T125" s="1">
        <f>IF(T$4&lt;=核心参数输入!$B$9,MAX(0,-(T119+T111-T120+T122)),0)</f>
        <v>0</v>
      </c>
      <c r="U125" s="1">
        <f>IF(U$4&lt;=核心参数输入!$B$9,MAX(0,-(U119+U111-U120+U122)),0)</f>
        <v>0</v>
      </c>
      <c r="V125" s="1">
        <f>IF(V$4&lt;=核心参数输入!$B$9,MAX(0,-(V119+V111-V120+V122)),0)</f>
        <v>0</v>
      </c>
      <c r="W125" s="1">
        <f>IF(W$4&lt;=核心参数输入!$B$9,MAX(0,-(W119+W111-W120+W122)),0)</f>
        <v>0</v>
      </c>
      <c r="X125" s="1">
        <f>IF(X$4&lt;=核心参数输入!$B$9,MAX(0,-(X119+X111-X120+X122)),0)</f>
        <v>0</v>
      </c>
      <c r="Y125" s="1">
        <f>IF(Y$4&lt;=核心参数输入!$B$9,MAX(0,-(Y119+Y111-Y120+Y122)),0)</f>
        <v>0</v>
      </c>
      <c r="Z125" s="1">
        <f>IF(Z$4&lt;=核心参数输入!$B$9,MAX(0,-(Z119+Z111-Z120+Z122)),0)</f>
        <v>0</v>
      </c>
      <c r="AA125" s="1">
        <f>IF(AA$4&lt;=核心参数输入!$B$9,MAX(0,-(AA119+AA111-AA120+AA122)),0)</f>
        <v>0</v>
      </c>
      <c r="AB125" s="1">
        <f>IF(AB$4&lt;=核心参数输入!$B$9,MAX(0,-(AB119+AB111-AB120+AB122)),0)</f>
        <v>0</v>
      </c>
      <c r="AC125" s="1">
        <f>IF(AC$4&lt;=核心参数输入!$B$9,MAX(0,-(AC119+AC111-AC120+AC122)),0)</f>
        <v>0</v>
      </c>
      <c r="AD125" s="1">
        <f>IF(AD$4&lt;=核心参数输入!$B$9,MAX(0,-(AD119+AD111-AD120+AD122)),0)</f>
        <v>0</v>
      </c>
      <c r="AE125" s="1">
        <f>IF(AE$4&lt;=核心参数输入!$B$9,MAX(0,-(AE119+AE111-AE120+AE122)),0)</f>
        <v>0</v>
      </c>
      <c r="AF125" s="1">
        <f>IF(AF$4&lt;=核心参数输入!$B$9,MAX(0,-(AF119+AF111-AF120+AF122)),0)</f>
        <v>0</v>
      </c>
      <c r="AG125" s="1">
        <f>IF(AG$4&lt;=核心参数输入!$B$9,MAX(0,-(AG119+AG111-AG120+AG122)),0)</f>
        <v>0</v>
      </c>
      <c r="AH125" s="1">
        <f>IF(AH$4&lt;=核心参数输入!$B$9,MAX(0,-(AH119+AH111-AH120+AH122)),0)</f>
        <v>0</v>
      </c>
    </row>
    <row r="126" spans="1:34" ht="21" customHeight="1">
      <c r="A126" s="11" t="s">
        <v>291</v>
      </c>
      <c r="B126" s="11" t="s">
        <v>54</v>
      </c>
      <c r="D126" s="1">
        <f>IF(D$4&lt;=核心参数输入!$B$9,MAX(0,D125),0)</f>
        <v>0</v>
      </c>
      <c r="E126" s="1">
        <f>IF(E$4&lt;=核心参数输入!$B$9,MAX(D126,E125),0)</f>
        <v>0</v>
      </c>
      <c r="F126" s="1">
        <f>IF(F$4&lt;=核心参数输入!$B$9,MAX(E126,F125),0)</f>
        <v>0</v>
      </c>
      <c r="G126" s="1">
        <f>IF(G$4&lt;=核心参数输入!$B$9,MAX(F126,G125),0)</f>
        <v>5102</v>
      </c>
      <c r="H126" s="1">
        <f>IF(H$4&lt;=核心参数输入!$B$9,MAX(G126,H125),0)</f>
        <v>5102</v>
      </c>
      <c r="I126" s="1">
        <f>IF(I$4&lt;=核心参数输入!$B$9,MAX(H126,I125),0)</f>
        <v>5102</v>
      </c>
      <c r="J126" s="1">
        <f>IF(J$4&lt;=核心参数输入!$B$9,MAX(I126,J125),0)</f>
        <v>5102</v>
      </c>
      <c r="K126" s="1">
        <f>IF(K$4&lt;=核心参数输入!$B$9,MAX(J126,K125),0)</f>
        <v>5102</v>
      </c>
      <c r="L126" s="1">
        <f>IF(L$4&lt;=核心参数输入!$B$9,MAX(K126,L125),0)</f>
        <v>5102</v>
      </c>
      <c r="M126" s="1">
        <f>IF(M$4&lt;=核心参数输入!$B$9,MAX(L126,M125),0)</f>
        <v>5102</v>
      </c>
      <c r="N126" s="1">
        <f>IF(N$4&lt;=核心参数输入!$B$9,MAX(M126,N125),0)</f>
        <v>5102</v>
      </c>
      <c r="O126" s="1">
        <f>IF(O$4&lt;=核心参数输入!$B$9,MAX(N126,O125),0)</f>
        <v>5102</v>
      </c>
      <c r="P126" s="1">
        <f>IF(P$4&lt;=核心参数输入!$B$9,MAX(O126,P125),0)</f>
        <v>5102</v>
      </c>
      <c r="Q126" s="1">
        <f>IF(Q$4&lt;=核心参数输入!$B$9,MAX(P126,Q125),0)</f>
        <v>5102</v>
      </c>
      <c r="R126" s="1">
        <f>IF(R$4&lt;=核心参数输入!$B$9,MAX(Q126,R125),0)</f>
        <v>5102</v>
      </c>
      <c r="S126" s="1">
        <f>IF(S$4&lt;=核心参数输入!$B$9,MAX(R126,S125),0)</f>
        <v>5102</v>
      </c>
      <c r="T126" s="1">
        <f>IF(T$4&lt;=核心参数输入!$B$9,MAX(S126,T125),0)</f>
        <v>5102</v>
      </c>
      <c r="U126" s="1">
        <f>IF(U$4&lt;=核心参数输入!$B$9,MAX(T126,U125),0)</f>
        <v>5102</v>
      </c>
      <c r="V126" s="1">
        <f>IF(V$4&lt;=核心参数输入!$B$9,MAX(U126,V125),0)</f>
        <v>5102</v>
      </c>
      <c r="W126" s="1">
        <f>IF(W$4&lt;=核心参数输入!$B$9,MAX(V126,W125),0)</f>
        <v>5102</v>
      </c>
      <c r="X126" s="1">
        <f>IF(X$4&lt;=核心参数输入!$B$9,MAX(W126,X125),0)</f>
        <v>5102</v>
      </c>
      <c r="Y126" s="1">
        <f>IF(Y$4&lt;=核心参数输入!$B$9,MAX(X126,Y125),0)</f>
        <v>0</v>
      </c>
      <c r="Z126" s="1">
        <f>IF(Z$4&lt;=核心参数输入!$B$9,MAX(Y126,Z125),0)</f>
        <v>0</v>
      </c>
      <c r="AA126" s="1">
        <f>IF(AA$4&lt;=核心参数输入!$B$9,MAX(Z126,AA125),0)</f>
        <v>0</v>
      </c>
      <c r="AB126" s="1">
        <f>IF(AB$4&lt;=核心参数输入!$B$9,MAX(AA126,AB125),0)</f>
        <v>0</v>
      </c>
      <c r="AC126" s="1">
        <f>IF(AC$4&lt;=核心参数输入!$B$9,MAX(AB126,AC125),0)</f>
        <v>0</v>
      </c>
      <c r="AD126" s="1">
        <f>IF(AD$4&lt;=核心参数输入!$B$9,MAX(AC126,AD125),0)</f>
        <v>0</v>
      </c>
      <c r="AE126" s="1">
        <f>IF(AE$4&lt;=核心参数输入!$B$9,MAX(AD126,AE125),0)</f>
        <v>0</v>
      </c>
      <c r="AF126" s="1">
        <f>IF(AF$4&lt;=核心参数输入!$B$9,MAX(AE126,AF125),0)</f>
        <v>0</v>
      </c>
      <c r="AG126" s="1">
        <f>IF(AG$4&lt;=核心参数输入!$B$9,MAX(AF126,AG125),0)</f>
        <v>0</v>
      </c>
      <c r="AH126" s="1">
        <f>IF(AH$4&lt;=核心参数输入!$B$9,MAX(AG126,AH125),0)</f>
        <v>0</v>
      </c>
    </row>
    <row r="127" spans="1:34" ht="21" customHeight="1">
      <c r="A127" s="11" t="s">
        <v>292</v>
      </c>
      <c r="B127" s="11" t="s">
        <v>54</v>
      </c>
      <c r="D127" s="1">
        <f>IF(D$4&lt;=核心参数输入!$B$9,0+D122,0)</f>
        <v>8000</v>
      </c>
      <c r="E127" s="1">
        <f>IF(E$4&lt;=核心参数输入!$B$9,D127+E122,0)</f>
        <v>16652.599999999999</v>
      </c>
      <c r="F127" s="1">
        <f>IF(F$4&lt;=核心参数输入!$B$9,E127+F122,0)</f>
        <v>28567.4</v>
      </c>
      <c r="G127" s="1">
        <f>IF(G$4&lt;=核心参数输入!$B$9,F127+G122,0)</f>
        <v>33000</v>
      </c>
      <c r="H127" s="1">
        <f>IF(H$4&lt;=核心参数输入!$B$9,G127+H122,0)</f>
        <v>33000</v>
      </c>
      <c r="I127" s="1">
        <f>IF(I$4&lt;=核心参数输入!$B$9,H127+I122,0)</f>
        <v>33000</v>
      </c>
      <c r="J127" s="1">
        <f>IF(J$4&lt;=核心参数输入!$B$9,I127+J122,0)</f>
        <v>33000</v>
      </c>
      <c r="K127" s="1">
        <f>IF(K$4&lt;=核心参数输入!$B$9,J127+K122,0)</f>
        <v>33000</v>
      </c>
      <c r="L127" s="1">
        <f>IF(L$4&lt;=核心参数输入!$B$9,K127+L122,0)</f>
        <v>33000</v>
      </c>
      <c r="M127" s="1">
        <f>IF(M$4&lt;=核心参数输入!$B$9,L127+M122,0)</f>
        <v>33000</v>
      </c>
      <c r="N127" s="1">
        <f>IF(N$4&lt;=核心参数输入!$B$9,M127+N122,0)</f>
        <v>33000</v>
      </c>
      <c r="O127" s="1">
        <f>IF(O$4&lt;=核心参数输入!$B$9,N127+O122,0)</f>
        <v>33000</v>
      </c>
      <c r="P127" s="1">
        <f>IF(P$4&lt;=核心参数输入!$B$9,O127+P122,0)</f>
        <v>33000</v>
      </c>
      <c r="Q127" s="1">
        <f>IF(Q$4&lt;=核心参数输入!$B$9,P127+Q122,0)</f>
        <v>33000</v>
      </c>
      <c r="R127" s="1">
        <f>IF(R$4&lt;=核心参数输入!$B$9,Q127+R122,0)</f>
        <v>33000</v>
      </c>
      <c r="S127" s="1">
        <f>IF(S$4&lt;=核心参数输入!$B$9,R127+S122,0)</f>
        <v>33000</v>
      </c>
      <c r="T127" s="1">
        <f>IF(T$4&lt;=核心参数输入!$B$9,S127+T122,0)</f>
        <v>33000</v>
      </c>
      <c r="U127" s="1">
        <f>IF(U$4&lt;=核心参数输入!$B$9,T127+U122,0)</f>
        <v>33000</v>
      </c>
      <c r="V127" s="1">
        <f>IF(V$4&lt;=核心参数输入!$B$9,U127+V122,0)</f>
        <v>33000</v>
      </c>
      <c r="W127" s="1">
        <f>IF(W$4&lt;=核心参数输入!$B$9,V127+W122,0)</f>
        <v>33000</v>
      </c>
      <c r="X127" s="1">
        <f>IF(X$4&lt;=核心参数输入!$B$9,W127+X122,0)</f>
        <v>33000</v>
      </c>
      <c r="Y127" s="1">
        <f>IF(Y$4&lt;=核心参数输入!$B$9,X127+Y122,0)</f>
        <v>0</v>
      </c>
      <c r="Z127" s="1">
        <f>IF(Z$4&lt;=核心参数输入!$B$9,Y127+Z122,0)</f>
        <v>0</v>
      </c>
      <c r="AA127" s="1">
        <f>IF(AA$4&lt;=核心参数输入!$B$9,Z127+AA122,0)</f>
        <v>0</v>
      </c>
      <c r="AB127" s="1">
        <f>IF(AB$4&lt;=核心参数输入!$B$9,AA127+AB122,0)</f>
        <v>0</v>
      </c>
      <c r="AC127" s="1">
        <f>IF(AC$4&lt;=核心参数输入!$B$9,AB127+AC122,0)</f>
        <v>0</v>
      </c>
      <c r="AD127" s="1">
        <f>IF(AD$4&lt;=核心参数输入!$B$9,AC127+AD122,0)</f>
        <v>0</v>
      </c>
      <c r="AE127" s="1">
        <f>IF(AE$4&lt;=核心参数输入!$B$9,AD127+AE122,0)</f>
        <v>0</v>
      </c>
      <c r="AF127" s="1">
        <f>IF(AF$4&lt;=核心参数输入!$B$9,AE127+AF122,0)</f>
        <v>0</v>
      </c>
      <c r="AG127" s="1">
        <f>IF(AG$4&lt;=核心参数输入!$B$9,AF127+AG122,0)</f>
        <v>0</v>
      </c>
      <c r="AH127" s="1">
        <f>IF(AH$4&lt;=核心参数输入!$B$9,AG127+AH122,0)</f>
        <v>0</v>
      </c>
    </row>
    <row r="128" spans="1:34" ht="21" customHeight="1">
      <c r="A128" s="11" t="s">
        <v>293</v>
      </c>
      <c r="B128" s="11" t="s">
        <v>54</v>
      </c>
      <c r="D128" s="1">
        <f>IF(D$4&lt;=核心参数输入!$B$9,D123-D122,0)</f>
        <v>-8000</v>
      </c>
      <c r="E128" s="1">
        <f>IF(E$4&lt;=核心参数输入!$B$9,E123-E122,0)</f>
        <v>-8652.5999999999985</v>
      </c>
      <c r="F128" s="1">
        <f>IF(F$4&lt;=核心参数输入!$B$9,F123-F122,0)</f>
        <v>-11914.800000000003</v>
      </c>
      <c r="G128" s="1">
        <f>IF(G$4&lt;=核心参数输入!$B$9,G123-G122,0)</f>
        <v>-4432.5999999999985</v>
      </c>
      <c r="H128" s="1">
        <f>IF(H$4&lt;=核心参数输入!$B$9,H123-H122,0)</f>
        <v>0</v>
      </c>
      <c r="I128" s="1">
        <f>IF(I$4&lt;=核心参数输入!$B$9,I123-I122,0)</f>
        <v>0</v>
      </c>
      <c r="J128" s="1">
        <f>IF(J$4&lt;=核心参数输入!$B$9,J123-J122,0)</f>
        <v>0</v>
      </c>
      <c r="K128" s="1">
        <f>IF(K$4&lt;=核心参数输入!$B$9,K123-K122,0)</f>
        <v>0</v>
      </c>
      <c r="L128" s="1">
        <f>IF(L$4&lt;=核心参数输入!$B$9,L123-L122,0)</f>
        <v>0</v>
      </c>
      <c r="M128" s="1">
        <f>IF(M$4&lt;=核心参数输入!$B$9,M123-M122,0)</f>
        <v>0</v>
      </c>
      <c r="N128" s="1">
        <f>IF(N$4&lt;=核心参数输入!$B$9,N123-N122,0)</f>
        <v>0</v>
      </c>
      <c r="O128" s="1">
        <f>IF(O$4&lt;=核心参数输入!$B$9,O123-O122,0)</f>
        <v>0</v>
      </c>
      <c r="P128" s="1">
        <f>IF(P$4&lt;=核心参数输入!$B$9,P123-P122,0)</f>
        <v>0</v>
      </c>
      <c r="Q128" s="1">
        <f>IF(Q$4&lt;=核心参数输入!$B$9,Q123-Q122,0)</f>
        <v>0</v>
      </c>
      <c r="R128" s="1">
        <f>IF(R$4&lt;=核心参数输入!$B$9,R123-R122,0)</f>
        <v>0</v>
      </c>
      <c r="S128" s="1">
        <f>IF(S$4&lt;=核心参数输入!$B$9,S123-S122,0)</f>
        <v>0</v>
      </c>
      <c r="T128" s="1">
        <f>IF(T$4&lt;=核心参数输入!$B$9,T123-T122,0)</f>
        <v>0</v>
      </c>
      <c r="U128" s="1">
        <f>IF(U$4&lt;=核心参数输入!$B$9,U123-U122,0)</f>
        <v>0</v>
      </c>
      <c r="V128" s="1">
        <f>IF(V$4&lt;=核心参数输入!$B$9,V123-V122,0)</f>
        <v>0</v>
      </c>
      <c r="W128" s="1">
        <f>IF(W$4&lt;=核心参数输入!$B$9,W123-W122,0)</f>
        <v>0</v>
      </c>
      <c r="X128" s="1">
        <f>IF(X$4&lt;=核心参数输入!$B$9,X123-X122,0)</f>
        <v>0</v>
      </c>
      <c r="Y128" s="1">
        <f>IF(Y$4&lt;=核心参数输入!$B$9,Y123-Y122,0)</f>
        <v>0</v>
      </c>
      <c r="Z128" s="1">
        <f>IF(Z$4&lt;=核心参数输入!$B$9,Z123-Z122,0)</f>
        <v>0</v>
      </c>
      <c r="AA128" s="1">
        <f>IF(AA$4&lt;=核心参数输入!$B$9,AA123-AA122,0)</f>
        <v>0</v>
      </c>
      <c r="AB128" s="1">
        <f>IF(AB$4&lt;=核心参数输入!$B$9,AB123-AB122,0)</f>
        <v>0</v>
      </c>
      <c r="AC128" s="1">
        <f>IF(AC$4&lt;=核心参数输入!$B$9,AC123-AC122,0)</f>
        <v>0</v>
      </c>
      <c r="AD128" s="1">
        <f>IF(AD$4&lt;=核心参数输入!$B$9,AD123-AD122,0)</f>
        <v>0</v>
      </c>
      <c r="AE128" s="1">
        <f>IF(AE$4&lt;=核心参数输入!$B$9,AE123-AE122,0)</f>
        <v>0</v>
      </c>
      <c r="AF128" s="1">
        <f>IF(AF$4&lt;=核心参数输入!$B$9,AF123-AF122,0)</f>
        <v>0</v>
      </c>
      <c r="AG128" s="1">
        <f>IF(AG$4&lt;=核心参数输入!$B$9,AG123-AG122,0)</f>
        <v>0</v>
      </c>
      <c r="AH128" s="1">
        <f>IF(AH$4&lt;=核心参数输入!$B$9,AH123-AH122,0)</f>
        <v>0</v>
      </c>
    </row>
    <row r="129" spans="1:34" ht="21" customHeight="1">
      <c r="A129" s="11" t="s">
        <v>294</v>
      </c>
      <c r="B129" s="11" t="s">
        <v>54</v>
      </c>
      <c r="D129" s="1">
        <f>IF(D$4&lt;=核心参数输入!$B$9,0+D106,0)</f>
        <v>-8000</v>
      </c>
      <c r="E129" s="1">
        <f>IF(E$4&lt;=核心参数输入!$B$9,D129+E106,0)</f>
        <v>-25463.599999999999</v>
      </c>
      <c r="F129" s="1">
        <f>IF(F$4&lt;=核心参数输入!$B$9,E129+F106,0)</f>
        <v>-48748.4</v>
      </c>
      <c r="G129" s="1">
        <f>IF(G$4&lt;=核心参数输入!$B$9,F129+G106,0)</f>
        <v>-66212</v>
      </c>
      <c r="H129" s="1">
        <f>IF(H$4&lt;=核心参数输入!$B$9,G129+H106,0)</f>
        <v>-55097.555709760003</v>
      </c>
      <c r="I129" s="1">
        <f>IF(I$4&lt;=核心参数输入!$B$9,H129+I106,0)</f>
        <v>-39347.735877271931</v>
      </c>
      <c r="J129" s="1">
        <f>IF(J$4&lt;=核心参数输入!$B$9,I129+J106,0)</f>
        <v>-27238.814174477098</v>
      </c>
      <c r="K129" s="1">
        <f>IF(K$4&lt;=核心参数输入!$B$9,J129+K106,0)</f>
        <v>-26551.895630842671</v>
      </c>
      <c r="L129" s="1">
        <f>IF(L$4&lt;=核心参数输入!$B$9,K129+L106,0)</f>
        <v>-25834.468928072951</v>
      </c>
      <c r="M129" s="1">
        <f>IF(M$4&lt;=核心参数输入!$B$9,L129+M106,0)</f>
        <v>-25105.204473001686</v>
      </c>
      <c r="N129" s="1">
        <f>IF(N$4&lt;=核心参数输入!$B$9,M129+N106,0)</f>
        <v>-24363.957172309154</v>
      </c>
      <c r="O129" s="1">
        <f>IF(O$4&lt;=核心参数输入!$B$9,N129+O106,0)</f>
        <v>-23610.580405735127</v>
      </c>
      <c r="P129" s="1">
        <f>IF(P$4&lt;=核心参数输入!$B$9,O129+P106,0)</f>
        <v>-22844.926016163965</v>
      </c>
      <c r="Q129" s="1">
        <f>IF(Q$4&lt;=核心参数输入!$B$9,P129+Q106,0)</f>
        <v>-22066.844299820739</v>
      </c>
      <c r="R129" s="1">
        <f>IF(R$4&lt;=核心参数输入!$B$9,Q129+R106,0)</f>
        <v>-21276.1839965853</v>
      </c>
      <c r="S129" s="1">
        <f>IF(S$4&lt;=核心参数输入!$B$9,R129+S106,0)</f>
        <v>-20472.79228043132</v>
      </c>
      <c r="T129" s="1">
        <f>IF(T$4&lt;=核心参数输入!$B$9,S129+T106,0)</f>
        <v>-19656.514749997623</v>
      </c>
      <c r="U129" s="1">
        <f>IF(U$4&lt;=核心参数输入!$B$9,T129+U106,0)</f>
        <v>-18827.195419299263</v>
      </c>
      <c r="V129" s="1">
        <f>IF(V$4&lt;=核心参数输入!$B$9,U129+V106,0)</f>
        <v>-17987.926136264399</v>
      </c>
      <c r="W129" s="1">
        <f>IF(W$4&lt;=核心参数输入!$B$9,V129+W106,0)</f>
        <v>-17138.637931342459</v>
      </c>
      <c r="X129" s="1">
        <f>IF(X$4&lt;=核心参数输入!$B$9,W129+X106,0)</f>
        <v>-15779.210208977303</v>
      </c>
      <c r="Y129" s="1">
        <f>IF(Y$4&lt;=核心参数输入!$B$9,X129+Y106,0)</f>
        <v>0</v>
      </c>
      <c r="Z129" s="1">
        <f>IF(Z$4&lt;=核心参数输入!$B$9,Y129+Z106,0)</f>
        <v>0</v>
      </c>
      <c r="AA129" s="1">
        <f>IF(AA$4&lt;=核心参数输入!$B$9,Z129+AA106,0)</f>
        <v>0</v>
      </c>
      <c r="AB129" s="1">
        <f>IF(AB$4&lt;=核心参数输入!$B$9,AA129+AB106,0)</f>
        <v>0</v>
      </c>
      <c r="AC129" s="1">
        <f>IF(AC$4&lt;=核心参数输入!$B$9,AB129+AC106,0)</f>
        <v>0</v>
      </c>
      <c r="AD129" s="1">
        <f>IF(AD$4&lt;=核心参数输入!$B$9,AC129+AD106,0)</f>
        <v>0</v>
      </c>
      <c r="AE129" s="1">
        <f>IF(AE$4&lt;=核心参数输入!$B$9,AD129+AE106,0)</f>
        <v>0</v>
      </c>
      <c r="AF129" s="1">
        <f>IF(AF$4&lt;=核心参数输入!$B$9,AE129+AF106,0)</f>
        <v>0</v>
      </c>
      <c r="AG129" s="1">
        <f>IF(AG$4&lt;=核心参数输入!$B$9,AF129+AG106,0)</f>
        <v>0</v>
      </c>
      <c r="AH129" s="1">
        <f>IF(AH$4&lt;=核心参数输入!$B$9,AG129+AH106,0)</f>
        <v>0</v>
      </c>
    </row>
    <row r="130" spans="1:34" ht="21" customHeight="1">
      <c r="A130" s="11" t="s">
        <v>295</v>
      </c>
      <c r="B130" s="11" t="s">
        <v>54</v>
      </c>
      <c r="D130" s="1">
        <f>IF(D$4&lt;=核心参数输入!$B$9,D106/(1+核心参数输入!$B$71)^D$4,0)</f>
        <v>-8000</v>
      </c>
      <c r="E130" s="1">
        <f>IF(E$4&lt;=核心参数输入!$B$9,E106/(1+核心参数输入!$B$71)^E$4,0)</f>
        <v>-16169.999999999998</v>
      </c>
      <c r="F130" s="1">
        <f>IF(F$4&lt;=核心参数输入!$B$9,F106/(1+核心参数输入!$B$71)^F$4,0)</f>
        <v>-19962.962962962964</v>
      </c>
      <c r="G130" s="1">
        <f>IF(G$4&lt;=核心参数输入!$B$9,G106/(1+核心参数输入!$B$71)^G$4,0)</f>
        <v>-13863.168724279833</v>
      </c>
      <c r="H130" s="1">
        <f>IF(H$4&lt;=核心参数输入!$B$9,H106/(1+核心参数输入!$B$71)^H$4,0)</f>
        <v>8169.448350569487</v>
      </c>
      <c r="I130" s="1">
        <f>IF(I$4&lt;=核心参数输入!$B$9,I106/(1+核心参数输入!$B$71)^I$4,0)</f>
        <v>10719.062734300343</v>
      </c>
      <c r="J130" s="1">
        <f>IF(J$4&lt;=核心参数输入!$B$9,J106/(1+核心参数输入!$B$71)^J$4,0)</f>
        <v>7630.6746714069459</v>
      </c>
      <c r="K130" s="1">
        <f>IF(K$4&lt;=核心参数输入!$B$9,K106/(1+核心参数输入!$B$71)^K$4,0)</f>
        <v>400.81037253814054</v>
      </c>
      <c r="L130" s="1">
        <f>IF(L$4&lt;=核心参数输入!$B$9,L106/(1+核心参数输入!$B$71)^L$4,0)</f>
        <v>387.60332441732675</v>
      </c>
      <c r="M130" s="1">
        <f>IF(M$4&lt;=核心参数输入!$B$9,M106/(1+核心参数输入!$B$71)^M$4,0)</f>
        <v>364.81379041508671</v>
      </c>
      <c r="N130" s="1">
        <f>IF(N$4&lt;=核心参数输入!$B$9,N106/(1+核心参数输入!$B$71)^N$4,0)</f>
        <v>343.34092274113141</v>
      </c>
      <c r="O130" s="1">
        <f>IF(O$4&lt;=核心参数输入!$B$9,O106/(1+核心参数输入!$B$71)^O$4,0)</f>
        <v>323.11038180683693</v>
      </c>
      <c r="P130" s="1">
        <f>IF(P$4&lt;=核心参数输入!$B$9,P106/(1+核心参数输入!$B$71)^P$4,0)</f>
        <v>304.05189246640612</v>
      </c>
      <c r="Q130" s="1">
        <f>IF(Q$4&lt;=核心参数输入!$B$9,Q106/(1+核心参数输入!$B$71)^Q$4,0)</f>
        <v>286.09903232479854</v>
      </c>
      <c r="R130" s="1">
        <f>IF(R$4&lt;=核心参数输入!$B$9,R106/(1+核心参数输入!$B$71)^R$4,0)</f>
        <v>269.18903020405082</v>
      </c>
      <c r="S130" s="1">
        <f>IF(S$4&lt;=核心参数输入!$B$9,S106/(1+核心参数输入!$B$71)^S$4,0)</f>
        <v>253.26257435585288</v>
      </c>
      <c r="T130" s="1">
        <f>IF(T$4&lt;=核心参数输入!$B$9,T106/(1+核心参数输入!$B$71)^T$4,0)</f>
        <v>238.26363001783776</v>
      </c>
      <c r="U130" s="1">
        <f>IF(U$4&lt;=核心参数输入!$B$9,U106/(1+核心参数输入!$B$71)^U$4,0)</f>
        <v>224.13926592122891</v>
      </c>
      <c r="V130" s="1">
        <f>IF(V$4&lt;=核心参数输入!$B$9,V106/(1+核心参数输入!$B$71)^V$4,0)</f>
        <v>210.02632324643318</v>
      </c>
      <c r="W130" s="1">
        <f>IF(W$4&lt;=核心参数输入!$B$9,W106/(1+核心参数输入!$B$71)^W$4,0)</f>
        <v>196.7903228902446</v>
      </c>
      <c r="X130" s="1">
        <f>IF(X$4&lt;=核心参数输入!$B$9,X106/(1+核心参数输入!$B$71)^X$4,0)</f>
        <v>291.66278092882368</v>
      </c>
      <c r="Y130" s="1">
        <f>IF(Y$4&lt;=核心参数输入!$B$9,Y106/(1+核心参数输入!$B$71)^Y$4,0)</f>
        <v>0</v>
      </c>
      <c r="Z130" s="1">
        <f>IF(Z$4&lt;=核心参数输入!$B$9,Z106/(1+核心参数输入!$B$71)^Z$4,0)</f>
        <v>0</v>
      </c>
      <c r="AA130" s="1">
        <f>IF(AA$4&lt;=核心参数输入!$B$9,AA106/(1+核心参数输入!$B$71)^AA$4,0)</f>
        <v>0</v>
      </c>
      <c r="AB130" s="1">
        <f>IF(AB$4&lt;=核心参数输入!$B$9,AB106/(1+核心参数输入!$B$71)^AB$4,0)</f>
        <v>0</v>
      </c>
      <c r="AC130" s="1">
        <f>IF(AC$4&lt;=核心参数输入!$B$9,AC106/(1+核心参数输入!$B$71)^AC$4,0)</f>
        <v>0</v>
      </c>
      <c r="AD130" s="1">
        <f>IF(AD$4&lt;=核心参数输入!$B$9,AD106/(1+核心参数输入!$B$71)^AD$4,0)</f>
        <v>0</v>
      </c>
      <c r="AE130" s="1">
        <f>IF(AE$4&lt;=核心参数输入!$B$9,AE106/(1+核心参数输入!$B$71)^AE$4,0)</f>
        <v>0</v>
      </c>
      <c r="AF130" s="1">
        <f>IF(AF$4&lt;=核心参数输入!$B$9,AF106/(1+核心参数输入!$B$71)^AF$4,0)</f>
        <v>0</v>
      </c>
      <c r="AG130" s="1">
        <f>IF(AG$4&lt;=核心参数输入!$B$9,AG106/(1+核心参数输入!$B$71)^AG$4,0)</f>
        <v>0</v>
      </c>
      <c r="AH130" s="1">
        <f>IF(AH$4&lt;=核心参数输入!$B$9,AH106/(1+核心参数输入!$B$71)^AH$4,0)</f>
        <v>0</v>
      </c>
    </row>
    <row r="131" spans="1:34" ht="21" customHeight="1">
      <c r="A131" s="11" t="s">
        <v>296</v>
      </c>
      <c r="B131" s="11" t="s">
        <v>54</v>
      </c>
      <c r="D131" s="1">
        <f>IF(D$4&lt;=核心参数输入!$B$9,0+D130,0)</f>
        <v>-8000</v>
      </c>
      <c r="E131" s="1">
        <f>IF(E$4&lt;=核心参数输入!$B$9,D131+E130,0)</f>
        <v>-24170</v>
      </c>
      <c r="F131" s="1">
        <f>IF(F$4&lt;=核心参数输入!$B$9,E131+F130,0)</f>
        <v>-44132.962962962964</v>
      </c>
      <c r="G131" s="1">
        <f>IF(G$4&lt;=核心参数输入!$B$9,F131+G130,0)</f>
        <v>-57996.1316872428</v>
      </c>
      <c r="H131" s="1">
        <f>IF(H$4&lt;=核心参数输入!$B$9,G131+H130,0)</f>
        <v>-49826.683336673312</v>
      </c>
      <c r="I131" s="1">
        <f>IF(I$4&lt;=核心参数输入!$B$9,H131+I130,0)</f>
        <v>-39107.620602372968</v>
      </c>
      <c r="J131" s="1">
        <f>IF(J$4&lt;=核心参数输入!$B$9,I131+J130,0)</f>
        <v>-31476.945930966023</v>
      </c>
      <c r="K131" s="1">
        <f>IF(K$4&lt;=核心参数输入!$B$9,J131+K130,0)</f>
        <v>-31076.135558427883</v>
      </c>
      <c r="L131" s="1">
        <f>IF(L$4&lt;=核心参数输入!$B$9,K131+L130,0)</f>
        <v>-30688.532234010556</v>
      </c>
      <c r="M131" s="1">
        <f>IF(M$4&lt;=核心参数输入!$B$9,L131+M130,0)</f>
        <v>-30323.71844359547</v>
      </c>
      <c r="N131" s="1">
        <f>IF(N$4&lt;=核心参数输入!$B$9,M131+N130,0)</f>
        <v>-29980.377520854337</v>
      </c>
      <c r="O131" s="1">
        <f>IF(O$4&lt;=核心参数输入!$B$9,N131+O130,0)</f>
        <v>-29657.267139047501</v>
      </c>
      <c r="P131" s="1">
        <f>IF(P$4&lt;=核心参数输入!$B$9,O131+P130,0)</f>
        <v>-29353.215246581094</v>
      </c>
      <c r="Q131" s="1">
        <f>IF(Q$4&lt;=核心参数输入!$B$9,P131+Q130,0)</f>
        <v>-29067.116214256297</v>
      </c>
      <c r="R131" s="1">
        <f>IF(R$4&lt;=核心参数输入!$B$9,Q131+R130,0)</f>
        <v>-28797.927184052245</v>
      </c>
      <c r="S131" s="1">
        <f>IF(S$4&lt;=核心参数输入!$B$9,R131+S130,0)</f>
        <v>-28544.664609696392</v>
      </c>
      <c r="T131" s="1">
        <f>IF(T$4&lt;=核心参数输入!$B$9,S131+T130,0)</f>
        <v>-28306.400979678554</v>
      </c>
      <c r="U131" s="1">
        <f>IF(U$4&lt;=核心参数输入!$B$9,T131+U130,0)</f>
        <v>-28082.261713757325</v>
      </c>
      <c r="V131" s="1">
        <f>IF(V$4&lt;=核心参数输入!$B$9,U131+V130,0)</f>
        <v>-27872.23539051089</v>
      </c>
      <c r="W131" s="1">
        <f>IF(W$4&lt;=核心参数输入!$B$9,V131+W130,0)</f>
        <v>-27675.445067620647</v>
      </c>
      <c r="X131" s="1">
        <f>IF(X$4&lt;=核心参数输入!$B$9,W131+X130,0)</f>
        <v>-27383.782286691825</v>
      </c>
      <c r="Y131" s="1">
        <f>IF(Y$4&lt;=核心参数输入!$B$9,X131+Y130,0)</f>
        <v>0</v>
      </c>
      <c r="Z131" s="1">
        <f>IF(Z$4&lt;=核心参数输入!$B$9,Y131+Z130,0)</f>
        <v>0</v>
      </c>
      <c r="AA131" s="1">
        <f>IF(AA$4&lt;=核心参数输入!$B$9,Z131+AA130,0)</f>
        <v>0</v>
      </c>
      <c r="AB131" s="1">
        <f>IF(AB$4&lt;=核心参数输入!$B$9,AA131+AB130,0)</f>
        <v>0</v>
      </c>
      <c r="AC131" s="1">
        <f>IF(AC$4&lt;=核心参数输入!$B$9,AB131+AC130,0)</f>
        <v>0</v>
      </c>
      <c r="AD131" s="1">
        <f>IF(AD$4&lt;=核心参数输入!$B$9,AC131+AD130,0)</f>
        <v>0</v>
      </c>
      <c r="AE131" s="1">
        <f>IF(AE$4&lt;=核心参数输入!$B$9,AD131+AE130,0)</f>
        <v>0</v>
      </c>
      <c r="AF131" s="1">
        <f>IF(AF$4&lt;=核心参数输入!$B$9,AE131+AF130,0)</f>
        <v>0</v>
      </c>
      <c r="AG131" s="1">
        <f>IF(AG$4&lt;=核心参数输入!$B$9,AF131+AG130,0)</f>
        <v>0</v>
      </c>
      <c r="AH131" s="1">
        <f>IF(AH$4&lt;=核心参数输入!$B$9,AG131+AH130,0)</f>
        <v>0</v>
      </c>
    </row>
    <row r="132" spans="1:34" ht="21" customHeight="1">
      <c r="A132" s="11" t="s">
        <v>297</v>
      </c>
      <c r="B132" s="11" t="s">
        <v>27</v>
      </c>
      <c r="D132" s="1" t="str">
        <f>IF(D$4&lt;=核心参数输入!$B$9,IF(AND(D$4&gt;核心参数输入!$B$16,融资与还本付息!D98&gt;0.000001),D99/融资与还本付息!D98,""),"")</f>
        <v/>
      </c>
      <c r="E132" s="1" t="str">
        <f>IF(E$4&lt;=核心参数输入!$B$9,IF(AND(E$4&gt;核心参数输入!$B$16,融资与还本付息!E98&gt;0.000001),E99/融资与还本付息!E98,""),"")</f>
        <v/>
      </c>
      <c r="F132" s="1" t="str">
        <f>IF(F$4&lt;=核心参数输入!$B$9,IF(AND(F$4&gt;核心参数输入!$B$16,融资与还本付息!F98&gt;0.000001),F99/融资与还本付息!F98,""),"")</f>
        <v/>
      </c>
      <c r="G132" s="1" t="str">
        <f>IF(G$4&lt;=核心参数输入!$B$9,IF(AND(G$4&gt;核心参数输入!$B$16,融资与还本付息!G98&gt;0.000001),G99/融资与还本付息!G98,""),"")</f>
        <v/>
      </c>
      <c r="H132" s="1">
        <f>IF(H$4&lt;=核心参数输入!$B$9,IF(AND(H$4&gt;核心参数输入!$B$16,融资与还本付息!H98&gt;0.000001),H99/融资与还本付息!H98,""),"")</f>
        <v>2.1288586025577376</v>
      </c>
      <c r="I132" s="1">
        <f>IF(I$4&lt;=核心参数输入!$B$9,IF(AND(I$4&gt;核心参数输入!$B$16,融资与还本付息!I98&gt;0.000001),I99/融资与还本付息!I98,""),"")</f>
        <v>3.0076886750579126</v>
      </c>
      <c r="J132" s="1">
        <f>IF(J$4&lt;=核心参数输入!$B$9,IF(AND(J$4&gt;核心参数输入!$B$16,融资与还本付息!J98&gt;0.000001),J99/融资与还本付息!J98,""),"")</f>
        <v>2.3994794942365694</v>
      </c>
      <c r="K132" s="1">
        <f>IF(K$4&lt;=核心参数输入!$B$9,IF(AND(K$4&gt;核心参数输入!$B$16,融资与还本付息!K98&gt;0.000001),K99/融资与还本付息!K98,""),"")</f>
        <v>0.13973931431098466</v>
      </c>
      <c r="L132" s="1">
        <f>IF(L$4&lt;=核心参数输入!$B$9,IF(AND(L$4&gt;核心参数输入!$B$16,融资与还本付息!L98&gt;0.000001),L99/融资与还本付息!L98,""),"")</f>
        <v>0.15149281808108703</v>
      </c>
      <c r="M132" s="1">
        <f>IF(M$4&lt;=核心参数输入!$B$9,IF(AND(M$4&gt;核心参数输入!$B$16,融资与还本付息!M98&gt;0.000001),M99/融资与还本付息!M98,""),"")</f>
        <v>0.160076863766035</v>
      </c>
      <c r="N132" s="1">
        <f>IF(N$4&lt;=核心参数输入!$B$9,IF(AND(N$4&gt;核心参数输入!$B$16,融资与还本付息!N98&gt;0.000001),N99/融资与还本付息!N98,""),"")</f>
        <v>0.16940029725261957</v>
      </c>
      <c r="O132" s="1" t="str">
        <f>IF(O$4&lt;=核心参数输入!$B$9,IF(AND(O$4&gt;核心参数输入!$B$16,融资与还本付息!O98&gt;0.000001),O99/融资与还本付息!O98,""),"")</f>
        <v/>
      </c>
      <c r="P132" s="1" t="str">
        <f>IF(P$4&lt;=核心参数输入!$B$9,IF(AND(P$4&gt;核心参数输入!$B$16,融资与还本付息!P98&gt;0.000001),P99/融资与还本付息!P98,""),"")</f>
        <v/>
      </c>
      <c r="Q132" s="1" t="str">
        <f>IF(Q$4&lt;=核心参数输入!$B$9,IF(AND(Q$4&gt;核心参数输入!$B$16,融资与还本付息!Q98&gt;0.000001),Q99/融资与还本付息!Q98,""),"")</f>
        <v/>
      </c>
      <c r="R132" s="1" t="str">
        <f>IF(R$4&lt;=核心参数输入!$B$9,IF(AND(R$4&gt;核心参数输入!$B$16,融资与还本付息!R98&gt;0.000001),R99/融资与还本付息!R98,""),"")</f>
        <v/>
      </c>
      <c r="S132" s="1" t="str">
        <f>IF(S$4&lt;=核心参数输入!$B$9,IF(AND(S$4&gt;核心参数输入!$B$16,融资与还本付息!S98&gt;0.000001),S99/融资与还本付息!S98,""),"")</f>
        <v/>
      </c>
      <c r="T132" s="1" t="str">
        <f>IF(T$4&lt;=核心参数输入!$B$9,IF(AND(T$4&gt;核心参数输入!$B$16,融资与还本付息!T98&gt;0.000001),T99/融资与还本付息!T98,""),"")</f>
        <v/>
      </c>
      <c r="U132" s="1" t="str">
        <f>IF(U$4&lt;=核心参数输入!$B$9,IF(AND(U$4&gt;核心参数输入!$B$16,融资与还本付息!U98&gt;0.000001),U99/融资与还本付息!U98,""),"")</f>
        <v/>
      </c>
      <c r="V132" s="1" t="str">
        <f>IF(V$4&lt;=核心参数输入!$B$9,IF(AND(V$4&gt;核心参数输入!$B$16,融资与还本付息!V98&gt;0.000001),V99/融资与还本付息!V98,""),"")</f>
        <v/>
      </c>
      <c r="W132" s="1" t="str">
        <f>IF(W$4&lt;=核心参数输入!$B$9,IF(AND(W$4&gt;核心参数输入!$B$16,融资与还本付息!W98&gt;0.000001),W99/融资与还本付息!W98,""),"")</f>
        <v/>
      </c>
      <c r="X132" s="1" t="str">
        <f>IF(X$4&lt;=核心参数输入!$B$9,IF(AND(X$4&gt;核心参数输入!$B$16,融资与还本付息!X98&gt;0.000001),X99/融资与还本付息!X98,""),"")</f>
        <v/>
      </c>
      <c r="Y132" s="1" t="str">
        <f>IF(Y$4&lt;=核心参数输入!$B$9,IF(AND(Y$4&gt;核心参数输入!$B$16,融资与还本付息!Y98&gt;0.000001),Y99/融资与还本付息!Y98,""),"")</f>
        <v/>
      </c>
      <c r="Z132" s="1" t="str">
        <f>IF(Z$4&lt;=核心参数输入!$B$9,IF(AND(Z$4&gt;核心参数输入!$B$16,融资与还本付息!Z98&gt;0.000001),Z99/融资与还本付息!Z98,""),"")</f>
        <v/>
      </c>
      <c r="AA132" s="1" t="str">
        <f>IF(AA$4&lt;=核心参数输入!$B$9,IF(AND(AA$4&gt;核心参数输入!$B$16,融资与还本付息!AA98&gt;0.000001),AA99/融资与还本付息!AA98,""),"")</f>
        <v/>
      </c>
      <c r="AB132" s="1" t="str">
        <f>IF(AB$4&lt;=核心参数输入!$B$9,IF(AND(AB$4&gt;核心参数输入!$B$16,融资与还本付息!AB98&gt;0.000001),AB99/融资与还本付息!AB98,""),"")</f>
        <v/>
      </c>
      <c r="AC132" s="1" t="str">
        <f>IF(AC$4&lt;=核心参数输入!$B$9,IF(AND(AC$4&gt;核心参数输入!$B$16,融资与还本付息!AC98&gt;0.000001),AC99/融资与还本付息!AC98,""),"")</f>
        <v/>
      </c>
      <c r="AD132" s="1" t="str">
        <f>IF(AD$4&lt;=核心参数输入!$B$9,IF(AND(AD$4&gt;核心参数输入!$B$16,融资与还本付息!AD98&gt;0.000001),AD99/融资与还本付息!AD98,""),"")</f>
        <v/>
      </c>
      <c r="AE132" s="1" t="str">
        <f>IF(AE$4&lt;=核心参数输入!$B$9,IF(AND(AE$4&gt;核心参数输入!$B$16,融资与还本付息!AE98&gt;0.000001),AE99/融资与还本付息!AE98,""),"")</f>
        <v/>
      </c>
      <c r="AF132" s="1" t="str">
        <f>IF(AF$4&lt;=核心参数输入!$B$9,IF(AND(AF$4&gt;核心参数输入!$B$16,融资与还本付息!AF98&gt;0.000001),AF99/融资与还本付息!AF98,""),"")</f>
        <v/>
      </c>
      <c r="AG132" s="1" t="str">
        <f>IF(AG$4&lt;=核心参数输入!$B$9,IF(AND(AG$4&gt;核心参数输入!$B$16,融资与还本付息!AG98&gt;0.000001),AG99/融资与还本付息!AG98,""),"")</f>
        <v/>
      </c>
      <c r="AH132" s="1" t="str">
        <f>IF(AH$4&lt;=核心参数输入!$B$9,IF(AND(AH$4&gt;核心参数输入!$B$16,融资与还本付息!AH98&gt;0.000001),AH99/融资与还本付息!AH98,""),"")</f>
        <v/>
      </c>
    </row>
    <row r="133" spans="1:34" ht="21" customHeight="1">
      <c r="A133" s="11" t="s">
        <v>298</v>
      </c>
      <c r="B133" s="11" t="s">
        <v>27</v>
      </c>
      <c r="D133" s="1">
        <f>IF(D$4&lt;=核心参数输入!$B$9,IF(ISNUMBER(D132),D132,1E+99),1E+99)</f>
        <v>9.9999999999999997E+98</v>
      </c>
      <c r="E133" s="1">
        <f>IF(E$4&lt;=核心参数输入!$B$9,IF(ISNUMBER(E132),E132,1E+99),1E+99)</f>
        <v>9.9999999999999997E+98</v>
      </c>
      <c r="F133" s="1">
        <f>IF(F$4&lt;=核心参数输入!$B$9,IF(ISNUMBER(F132),F132,1E+99),1E+99)</f>
        <v>9.9999999999999997E+98</v>
      </c>
      <c r="G133" s="1">
        <f>IF(G$4&lt;=核心参数输入!$B$9,IF(ISNUMBER(G132),G132,1E+99),1E+99)</f>
        <v>9.9999999999999997E+98</v>
      </c>
      <c r="H133" s="1">
        <f>IF(H$4&lt;=核心参数输入!$B$9,IF(ISNUMBER(H132),H132,1E+99),1E+99)</f>
        <v>2.1288586025577376</v>
      </c>
      <c r="I133" s="1">
        <f>IF(I$4&lt;=核心参数输入!$B$9,IF(ISNUMBER(I132),I132,1E+99),1E+99)</f>
        <v>3.0076886750579126</v>
      </c>
      <c r="J133" s="1">
        <f>IF(J$4&lt;=核心参数输入!$B$9,IF(ISNUMBER(J132),J132,1E+99),1E+99)</f>
        <v>2.3994794942365694</v>
      </c>
      <c r="K133" s="1">
        <f>IF(K$4&lt;=核心参数输入!$B$9,IF(ISNUMBER(K132),K132,1E+99),1E+99)</f>
        <v>0.13973931431098466</v>
      </c>
      <c r="L133" s="1">
        <f>IF(L$4&lt;=核心参数输入!$B$9,IF(ISNUMBER(L132),L132,1E+99),1E+99)</f>
        <v>0.15149281808108703</v>
      </c>
      <c r="M133" s="1">
        <f>IF(M$4&lt;=核心参数输入!$B$9,IF(ISNUMBER(M132),M132,1E+99),1E+99)</f>
        <v>0.160076863766035</v>
      </c>
      <c r="N133" s="1">
        <f>IF(N$4&lt;=核心参数输入!$B$9,IF(ISNUMBER(N132),N132,1E+99),1E+99)</f>
        <v>0.16940029725261957</v>
      </c>
      <c r="O133" s="1">
        <f>IF(O$4&lt;=核心参数输入!$B$9,IF(ISNUMBER(O132),O132,1E+99),1E+99)</f>
        <v>9.9999999999999997E+98</v>
      </c>
      <c r="P133" s="1">
        <f>IF(P$4&lt;=核心参数输入!$B$9,IF(ISNUMBER(P132),P132,1E+99),1E+99)</f>
        <v>9.9999999999999997E+98</v>
      </c>
      <c r="Q133" s="1">
        <f>IF(Q$4&lt;=核心参数输入!$B$9,IF(ISNUMBER(Q132),Q132,1E+99),1E+99)</f>
        <v>9.9999999999999997E+98</v>
      </c>
      <c r="R133" s="1">
        <f>IF(R$4&lt;=核心参数输入!$B$9,IF(ISNUMBER(R132),R132,1E+99),1E+99)</f>
        <v>9.9999999999999997E+98</v>
      </c>
      <c r="S133" s="1">
        <f>IF(S$4&lt;=核心参数输入!$B$9,IF(ISNUMBER(S132),S132,1E+99),1E+99)</f>
        <v>9.9999999999999997E+98</v>
      </c>
      <c r="T133" s="1">
        <f>IF(T$4&lt;=核心参数输入!$B$9,IF(ISNUMBER(T132),T132,1E+99),1E+99)</f>
        <v>9.9999999999999997E+98</v>
      </c>
      <c r="U133" s="1">
        <f>IF(U$4&lt;=核心参数输入!$B$9,IF(ISNUMBER(U132),U132,1E+99),1E+99)</f>
        <v>9.9999999999999997E+98</v>
      </c>
      <c r="V133" s="1">
        <f>IF(V$4&lt;=核心参数输入!$B$9,IF(ISNUMBER(V132),V132,1E+99),1E+99)</f>
        <v>9.9999999999999997E+98</v>
      </c>
      <c r="W133" s="1">
        <f>IF(W$4&lt;=核心参数输入!$B$9,IF(ISNUMBER(W132),W132,1E+99),1E+99)</f>
        <v>9.9999999999999997E+98</v>
      </c>
      <c r="X133" s="1">
        <f>IF(X$4&lt;=核心参数输入!$B$9,IF(ISNUMBER(X132),X132,1E+99),1E+99)</f>
        <v>9.9999999999999997E+98</v>
      </c>
      <c r="Y133" s="1">
        <f>IF(Y$4&lt;=核心参数输入!$B$9,IF(ISNUMBER(Y132),Y132,1E+99),1E+99)</f>
        <v>9.9999999999999997E+98</v>
      </c>
      <c r="Z133" s="1">
        <f>IF(Z$4&lt;=核心参数输入!$B$9,IF(ISNUMBER(Z132),Z132,1E+99),1E+99)</f>
        <v>9.9999999999999997E+98</v>
      </c>
      <c r="AA133" s="1">
        <f>IF(AA$4&lt;=核心参数输入!$B$9,IF(ISNUMBER(AA132),AA132,1E+99),1E+99)</f>
        <v>9.9999999999999997E+98</v>
      </c>
      <c r="AB133" s="1">
        <f>IF(AB$4&lt;=核心参数输入!$B$9,IF(ISNUMBER(AB132),AB132,1E+99),1E+99)</f>
        <v>9.9999999999999997E+98</v>
      </c>
      <c r="AC133" s="1">
        <f>IF(AC$4&lt;=核心参数输入!$B$9,IF(ISNUMBER(AC132),AC132,1E+99),1E+99)</f>
        <v>9.9999999999999997E+98</v>
      </c>
      <c r="AD133" s="1">
        <f>IF(AD$4&lt;=核心参数输入!$B$9,IF(ISNUMBER(AD132),AD132,1E+99),1E+99)</f>
        <v>9.9999999999999997E+98</v>
      </c>
      <c r="AE133" s="1">
        <f>IF(AE$4&lt;=核心参数输入!$B$9,IF(ISNUMBER(AE132),AE132,1E+99),1E+99)</f>
        <v>9.9999999999999997E+98</v>
      </c>
      <c r="AF133" s="1">
        <f>IF(AF$4&lt;=核心参数输入!$B$9,IF(ISNUMBER(AF132),AF132,1E+99),1E+99)</f>
        <v>9.9999999999999997E+98</v>
      </c>
      <c r="AG133" s="1">
        <f>IF(AG$4&lt;=核心参数输入!$B$9,IF(ISNUMBER(AG132),AG132,1E+99),1E+99)</f>
        <v>9.9999999999999997E+98</v>
      </c>
      <c r="AH133" s="1">
        <f>IF(AH$4&lt;=核心参数输入!$B$9,IF(ISNUMBER(AH132),AH132,1E+99),1E+99)</f>
        <v>9.9999999999999997E+98</v>
      </c>
    </row>
    <row r="134" spans="1:34" ht="21" customHeight="1">
      <c r="A134" s="11" t="s">
        <v>299</v>
      </c>
      <c r="B134" s="11" t="s">
        <v>300</v>
      </c>
      <c r="D134" s="1">
        <f>IF(D$4&lt;=核心参数输入!$B$9,IF(AND(D$4&gt;0,0&lt;0,D129&gt;=0),1,0),0)</f>
        <v>0</v>
      </c>
      <c r="E134" s="1">
        <f>IF(E$4&lt;=核心参数输入!$B$9,IF(AND(E$4&gt;0,D129&lt;0,E129&gt;=0),1,0),0)</f>
        <v>0</v>
      </c>
      <c r="F134" s="1">
        <f>IF(F$4&lt;=核心参数输入!$B$9,IF(AND(F$4&gt;0,E129&lt;0,F129&gt;=0),1,0),0)</f>
        <v>0</v>
      </c>
      <c r="G134" s="1">
        <f>IF(G$4&lt;=核心参数输入!$B$9,IF(AND(G$4&gt;0,F129&lt;0,G129&gt;=0),1,0),0)</f>
        <v>0</v>
      </c>
      <c r="H134" s="1">
        <f>IF(H$4&lt;=核心参数输入!$B$9,IF(AND(H$4&gt;0,G129&lt;0,H129&gt;=0),1,0),0)</f>
        <v>0</v>
      </c>
      <c r="I134" s="1">
        <f>IF(I$4&lt;=核心参数输入!$B$9,IF(AND(I$4&gt;0,H129&lt;0,I129&gt;=0),1,0),0)</f>
        <v>0</v>
      </c>
      <c r="J134" s="1">
        <f>IF(J$4&lt;=核心参数输入!$B$9,IF(AND(J$4&gt;0,I129&lt;0,J129&gt;=0),1,0),0)</f>
        <v>0</v>
      </c>
      <c r="K134" s="1">
        <f>IF(K$4&lt;=核心参数输入!$B$9,IF(AND(K$4&gt;0,J129&lt;0,K129&gt;=0),1,0),0)</f>
        <v>0</v>
      </c>
      <c r="L134" s="1">
        <f>IF(L$4&lt;=核心参数输入!$B$9,IF(AND(L$4&gt;0,K129&lt;0,L129&gt;=0),1,0),0)</f>
        <v>0</v>
      </c>
      <c r="M134" s="1">
        <f>IF(M$4&lt;=核心参数输入!$B$9,IF(AND(M$4&gt;0,L129&lt;0,M129&gt;=0),1,0),0)</f>
        <v>0</v>
      </c>
      <c r="N134" s="1">
        <f>IF(N$4&lt;=核心参数输入!$B$9,IF(AND(N$4&gt;0,M129&lt;0,N129&gt;=0),1,0),0)</f>
        <v>0</v>
      </c>
      <c r="O134" s="1">
        <f>IF(O$4&lt;=核心参数输入!$B$9,IF(AND(O$4&gt;0,N129&lt;0,O129&gt;=0),1,0),0)</f>
        <v>0</v>
      </c>
      <c r="P134" s="1">
        <f>IF(P$4&lt;=核心参数输入!$B$9,IF(AND(P$4&gt;0,O129&lt;0,P129&gt;=0),1,0),0)</f>
        <v>0</v>
      </c>
      <c r="Q134" s="1">
        <f>IF(Q$4&lt;=核心参数输入!$B$9,IF(AND(Q$4&gt;0,P129&lt;0,Q129&gt;=0),1,0),0)</f>
        <v>0</v>
      </c>
      <c r="R134" s="1">
        <f>IF(R$4&lt;=核心参数输入!$B$9,IF(AND(R$4&gt;0,Q129&lt;0,R129&gt;=0),1,0),0)</f>
        <v>0</v>
      </c>
      <c r="S134" s="1">
        <f>IF(S$4&lt;=核心参数输入!$B$9,IF(AND(S$4&gt;0,R129&lt;0,S129&gt;=0),1,0),0)</f>
        <v>0</v>
      </c>
      <c r="T134" s="1">
        <f>IF(T$4&lt;=核心参数输入!$B$9,IF(AND(T$4&gt;0,S129&lt;0,T129&gt;=0),1,0),0)</f>
        <v>0</v>
      </c>
      <c r="U134" s="1">
        <f>IF(U$4&lt;=核心参数输入!$B$9,IF(AND(U$4&gt;0,T129&lt;0,U129&gt;=0),1,0),0)</f>
        <v>0</v>
      </c>
      <c r="V134" s="1">
        <f>IF(V$4&lt;=核心参数输入!$B$9,IF(AND(V$4&gt;0,U129&lt;0,V129&gt;=0),1,0),0)</f>
        <v>0</v>
      </c>
      <c r="W134" s="1">
        <f>IF(W$4&lt;=核心参数输入!$B$9,IF(AND(W$4&gt;0,V129&lt;0,W129&gt;=0),1,0),0)</f>
        <v>0</v>
      </c>
      <c r="X134" s="1">
        <f>IF(X$4&lt;=核心参数输入!$B$9,IF(AND(X$4&gt;0,W129&lt;0,X129&gt;=0),1,0),0)</f>
        <v>0</v>
      </c>
      <c r="Y134" s="1">
        <f>IF(Y$4&lt;=核心参数输入!$B$9,IF(AND(Y$4&gt;0,X129&lt;0,Y129&gt;=0),1,0),0)</f>
        <v>0</v>
      </c>
      <c r="Z134" s="1">
        <f>IF(Z$4&lt;=核心参数输入!$B$9,IF(AND(Z$4&gt;0,Y129&lt;0,Z129&gt;=0),1,0),0)</f>
        <v>0</v>
      </c>
      <c r="AA134" s="1">
        <f>IF(AA$4&lt;=核心参数输入!$B$9,IF(AND(AA$4&gt;0,Z129&lt;0,AA129&gt;=0),1,0),0)</f>
        <v>0</v>
      </c>
      <c r="AB134" s="1">
        <f>IF(AB$4&lt;=核心参数输入!$B$9,IF(AND(AB$4&gt;0,AA129&lt;0,AB129&gt;=0),1,0),0)</f>
        <v>0</v>
      </c>
      <c r="AC134" s="1">
        <f>IF(AC$4&lt;=核心参数输入!$B$9,IF(AND(AC$4&gt;0,AB129&lt;0,AC129&gt;=0),1,0),0)</f>
        <v>0</v>
      </c>
      <c r="AD134" s="1">
        <f>IF(AD$4&lt;=核心参数输入!$B$9,IF(AND(AD$4&gt;0,AC129&lt;0,AD129&gt;=0),1,0),0)</f>
        <v>0</v>
      </c>
      <c r="AE134" s="1">
        <f>IF(AE$4&lt;=核心参数输入!$B$9,IF(AND(AE$4&gt;0,AD129&lt;0,AE129&gt;=0),1,0),0)</f>
        <v>0</v>
      </c>
      <c r="AF134" s="1">
        <f>IF(AF$4&lt;=核心参数输入!$B$9,IF(AND(AF$4&gt;0,AE129&lt;0,AF129&gt;=0),1,0),0)</f>
        <v>0</v>
      </c>
      <c r="AG134" s="1">
        <f>IF(AG$4&lt;=核心参数输入!$B$9,IF(AND(AG$4&gt;0,AF129&lt;0,AG129&gt;=0),1,0),0)</f>
        <v>0</v>
      </c>
      <c r="AH134" s="1">
        <f>IF(AH$4&lt;=核心参数输入!$B$9,IF(AND(AH$4&gt;0,AG129&lt;0,AH129&gt;=0),1,0),0)</f>
        <v>0</v>
      </c>
    </row>
    <row r="135" spans="1:34" ht="21" customHeight="1">
      <c r="A135" s="11" t="s">
        <v>301</v>
      </c>
      <c r="B135" s="11" t="s">
        <v>300</v>
      </c>
      <c r="D135" s="1">
        <f>IF(D$4&lt;=核心参数输入!$B$9,IF(AND(D$4&gt;0,0&lt;0,D131&gt;=0),1,0),0)</f>
        <v>0</v>
      </c>
      <c r="E135" s="1">
        <f>IF(E$4&lt;=核心参数输入!$B$9,IF(AND(E$4&gt;0,D131&lt;0,E131&gt;=0),1,0),0)</f>
        <v>0</v>
      </c>
      <c r="F135" s="1">
        <f>IF(F$4&lt;=核心参数输入!$B$9,IF(AND(F$4&gt;0,E131&lt;0,F131&gt;=0),1,0),0)</f>
        <v>0</v>
      </c>
      <c r="G135" s="1">
        <f>IF(G$4&lt;=核心参数输入!$B$9,IF(AND(G$4&gt;0,F131&lt;0,G131&gt;=0),1,0),0)</f>
        <v>0</v>
      </c>
      <c r="H135" s="1">
        <f>IF(H$4&lt;=核心参数输入!$B$9,IF(AND(H$4&gt;0,G131&lt;0,H131&gt;=0),1,0),0)</f>
        <v>0</v>
      </c>
      <c r="I135" s="1">
        <f>IF(I$4&lt;=核心参数输入!$B$9,IF(AND(I$4&gt;0,H131&lt;0,I131&gt;=0),1,0),0)</f>
        <v>0</v>
      </c>
      <c r="J135" s="1">
        <f>IF(J$4&lt;=核心参数输入!$B$9,IF(AND(J$4&gt;0,I131&lt;0,J131&gt;=0),1,0),0)</f>
        <v>0</v>
      </c>
      <c r="K135" s="1">
        <f>IF(K$4&lt;=核心参数输入!$B$9,IF(AND(K$4&gt;0,J131&lt;0,K131&gt;=0),1,0),0)</f>
        <v>0</v>
      </c>
      <c r="L135" s="1">
        <f>IF(L$4&lt;=核心参数输入!$B$9,IF(AND(L$4&gt;0,K131&lt;0,L131&gt;=0),1,0),0)</f>
        <v>0</v>
      </c>
      <c r="M135" s="1">
        <f>IF(M$4&lt;=核心参数输入!$B$9,IF(AND(M$4&gt;0,L131&lt;0,M131&gt;=0),1,0),0)</f>
        <v>0</v>
      </c>
      <c r="N135" s="1">
        <f>IF(N$4&lt;=核心参数输入!$B$9,IF(AND(N$4&gt;0,M131&lt;0,N131&gt;=0),1,0),0)</f>
        <v>0</v>
      </c>
      <c r="O135" s="1">
        <f>IF(O$4&lt;=核心参数输入!$B$9,IF(AND(O$4&gt;0,N131&lt;0,O131&gt;=0),1,0),0)</f>
        <v>0</v>
      </c>
      <c r="P135" s="1">
        <f>IF(P$4&lt;=核心参数输入!$B$9,IF(AND(P$4&gt;0,O131&lt;0,P131&gt;=0),1,0),0)</f>
        <v>0</v>
      </c>
      <c r="Q135" s="1">
        <f>IF(Q$4&lt;=核心参数输入!$B$9,IF(AND(Q$4&gt;0,P131&lt;0,Q131&gt;=0),1,0),0)</f>
        <v>0</v>
      </c>
      <c r="R135" s="1">
        <f>IF(R$4&lt;=核心参数输入!$B$9,IF(AND(R$4&gt;0,Q131&lt;0,R131&gt;=0),1,0),0)</f>
        <v>0</v>
      </c>
      <c r="S135" s="1">
        <f>IF(S$4&lt;=核心参数输入!$B$9,IF(AND(S$4&gt;0,R131&lt;0,S131&gt;=0),1,0),0)</f>
        <v>0</v>
      </c>
      <c r="T135" s="1">
        <f>IF(T$4&lt;=核心参数输入!$B$9,IF(AND(T$4&gt;0,S131&lt;0,T131&gt;=0),1,0),0)</f>
        <v>0</v>
      </c>
      <c r="U135" s="1">
        <f>IF(U$4&lt;=核心参数输入!$B$9,IF(AND(U$4&gt;0,T131&lt;0,U131&gt;=0),1,0),0)</f>
        <v>0</v>
      </c>
      <c r="V135" s="1">
        <f>IF(V$4&lt;=核心参数输入!$B$9,IF(AND(V$4&gt;0,U131&lt;0,V131&gt;=0),1,0),0)</f>
        <v>0</v>
      </c>
      <c r="W135" s="1">
        <f>IF(W$4&lt;=核心参数输入!$B$9,IF(AND(W$4&gt;0,V131&lt;0,W131&gt;=0),1,0),0)</f>
        <v>0</v>
      </c>
      <c r="X135" s="1">
        <f>IF(X$4&lt;=核心参数输入!$B$9,IF(AND(X$4&gt;0,W131&lt;0,X131&gt;=0),1,0),0)</f>
        <v>0</v>
      </c>
      <c r="Y135" s="1">
        <f>IF(Y$4&lt;=核心参数输入!$B$9,IF(AND(Y$4&gt;0,X131&lt;0,Y131&gt;=0),1,0),0)</f>
        <v>0</v>
      </c>
      <c r="Z135" s="1">
        <f>IF(Z$4&lt;=核心参数输入!$B$9,IF(AND(Z$4&gt;0,Y131&lt;0,Z131&gt;=0),1,0),0)</f>
        <v>0</v>
      </c>
      <c r="AA135" s="1">
        <f>IF(AA$4&lt;=核心参数输入!$B$9,IF(AND(AA$4&gt;0,Z131&lt;0,AA131&gt;=0),1,0),0)</f>
        <v>0</v>
      </c>
      <c r="AB135" s="1">
        <f>IF(AB$4&lt;=核心参数输入!$B$9,IF(AND(AB$4&gt;0,AA131&lt;0,AB131&gt;=0),1,0),0)</f>
        <v>0</v>
      </c>
      <c r="AC135" s="1">
        <f>IF(AC$4&lt;=核心参数输入!$B$9,IF(AND(AC$4&gt;0,AB131&lt;0,AC131&gt;=0),1,0),0)</f>
        <v>0</v>
      </c>
      <c r="AD135" s="1">
        <f>IF(AD$4&lt;=核心参数输入!$B$9,IF(AND(AD$4&gt;0,AC131&lt;0,AD131&gt;=0),1,0),0)</f>
        <v>0</v>
      </c>
      <c r="AE135" s="1">
        <f>IF(AE$4&lt;=核心参数输入!$B$9,IF(AND(AE$4&gt;0,AD131&lt;0,AE131&gt;=0),1,0),0)</f>
        <v>0</v>
      </c>
      <c r="AF135" s="1">
        <f>IF(AF$4&lt;=核心参数输入!$B$9,IF(AND(AF$4&gt;0,AE131&lt;0,AF131&gt;=0),1,0),0)</f>
        <v>0</v>
      </c>
      <c r="AG135" s="1">
        <f>IF(AG$4&lt;=核心参数输入!$B$9,IF(AND(AG$4&gt;0,AF131&lt;0,AG131&gt;=0),1,0),0)</f>
        <v>0</v>
      </c>
      <c r="AH135" s="1">
        <f>IF(AH$4&lt;=核心参数输入!$B$9,IF(AND(AH$4&gt;0,AG131&lt;0,AH131&gt;=0),1,0),0)</f>
        <v>0</v>
      </c>
    </row>
    <row r="136" spans="1:34" ht="21" customHeight="1">
      <c r="A136" s="11" t="s">
        <v>302</v>
      </c>
      <c r="B136" s="11" t="s">
        <v>300</v>
      </c>
      <c r="D136" s="1">
        <f>IF(D$4&lt;=核心参数输入!$B$9,IF(ABS(D106)&lt;=0.000001,0,SIGN(D106)),0)</f>
        <v>-1</v>
      </c>
      <c r="E136" s="1">
        <f>IF(E$4&lt;=核心参数输入!$B$9,IF(ABS(E106)&lt;=0.000001,0,SIGN(E106)),0)</f>
        <v>-1</v>
      </c>
      <c r="F136" s="1">
        <f>IF(F$4&lt;=核心参数输入!$B$9,IF(ABS(F106)&lt;=0.000001,0,SIGN(F106)),0)</f>
        <v>-1</v>
      </c>
      <c r="G136" s="1">
        <f>IF(G$4&lt;=核心参数输入!$B$9,IF(ABS(G106)&lt;=0.000001,0,SIGN(G106)),0)</f>
        <v>-1</v>
      </c>
      <c r="H136" s="1">
        <f>IF(H$4&lt;=核心参数输入!$B$9,IF(ABS(H106)&lt;=0.000001,0,SIGN(H106)),0)</f>
        <v>1</v>
      </c>
      <c r="I136" s="1">
        <f>IF(I$4&lt;=核心参数输入!$B$9,IF(ABS(I106)&lt;=0.000001,0,SIGN(I106)),0)</f>
        <v>1</v>
      </c>
      <c r="J136" s="1">
        <f>IF(J$4&lt;=核心参数输入!$B$9,IF(ABS(J106)&lt;=0.000001,0,SIGN(J106)),0)</f>
        <v>1</v>
      </c>
      <c r="K136" s="1">
        <f>IF(K$4&lt;=核心参数输入!$B$9,IF(ABS(K106)&lt;=0.000001,0,SIGN(K106)),0)</f>
        <v>1</v>
      </c>
      <c r="L136" s="1">
        <f>IF(L$4&lt;=核心参数输入!$B$9,IF(ABS(L106)&lt;=0.000001,0,SIGN(L106)),0)</f>
        <v>1</v>
      </c>
      <c r="M136" s="1">
        <f>IF(M$4&lt;=核心参数输入!$B$9,IF(ABS(M106)&lt;=0.000001,0,SIGN(M106)),0)</f>
        <v>1</v>
      </c>
      <c r="N136" s="1">
        <f>IF(N$4&lt;=核心参数输入!$B$9,IF(ABS(N106)&lt;=0.000001,0,SIGN(N106)),0)</f>
        <v>1</v>
      </c>
      <c r="O136" s="1">
        <f>IF(O$4&lt;=核心参数输入!$B$9,IF(ABS(O106)&lt;=0.000001,0,SIGN(O106)),0)</f>
        <v>1</v>
      </c>
      <c r="P136" s="1">
        <f>IF(P$4&lt;=核心参数输入!$B$9,IF(ABS(P106)&lt;=0.000001,0,SIGN(P106)),0)</f>
        <v>1</v>
      </c>
      <c r="Q136" s="1">
        <f>IF(Q$4&lt;=核心参数输入!$B$9,IF(ABS(Q106)&lt;=0.000001,0,SIGN(Q106)),0)</f>
        <v>1</v>
      </c>
      <c r="R136" s="1">
        <f>IF(R$4&lt;=核心参数输入!$B$9,IF(ABS(R106)&lt;=0.000001,0,SIGN(R106)),0)</f>
        <v>1</v>
      </c>
      <c r="S136" s="1">
        <f>IF(S$4&lt;=核心参数输入!$B$9,IF(ABS(S106)&lt;=0.000001,0,SIGN(S106)),0)</f>
        <v>1</v>
      </c>
      <c r="T136" s="1">
        <f>IF(T$4&lt;=核心参数输入!$B$9,IF(ABS(T106)&lt;=0.000001,0,SIGN(T106)),0)</f>
        <v>1</v>
      </c>
      <c r="U136" s="1">
        <f>IF(U$4&lt;=核心参数输入!$B$9,IF(ABS(U106)&lt;=0.000001,0,SIGN(U106)),0)</f>
        <v>1</v>
      </c>
      <c r="V136" s="1">
        <f>IF(V$4&lt;=核心参数输入!$B$9,IF(ABS(V106)&lt;=0.000001,0,SIGN(V106)),0)</f>
        <v>1</v>
      </c>
      <c r="W136" s="1">
        <f>IF(W$4&lt;=核心参数输入!$B$9,IF(ABS(W106)&lt;=0.000001,0,SIGN(W106)),0)</f>
        <v>1</v>
      </c>
      <c r="X136" s="1">
        <f>IF(X$4&lt;=核心参数输入!$B$9,IF(ABS(X106)&lt;=0.000001,0,SIGN(X106)),0)</f>
        <v>1</v>
      </c>
      <c r="Y136" s="1">
        <f>IF(Y$4&lt;=核心参数输入!$B$9,IF(ABS(Y106)&lt;=0.000001,0,SIGN(Y106)),0)</f>
        <v>0</v>
      </c>
      <c r="Z136" s="1">
        <f>IF(Z$4&lt;=核心参数输入!$B$9,IF(ABS(Z106)&lt;=0.000001,0,SIGN(Z106)),0)</f>
        <v>0</v>
      </c>
      <c r="AA136" s="1">
        <f>IF(AA$4&lt;=核心参数输入!$B$9,IF(ABS(AA106)&lt;=0.000001,0,SIGN(AA106)),0)</f>
        <v>0</v>
      </c>
      <c r="AB136" s="1">
        <f>IF(AB$4&lt;=核心参数输入!$B$9,IF(ABS(AB106)&lt;=0.000001,0,SIGN(AB106)),0)</f>
        <v>0</v>
      </c>
      <c r="AC136" s="1">
        <f>IF(AC$4&lt;=核心参数输入!$B$9,IF(ABS(AC106)&lt;=0.000001,0,SIGN(AC106)),0)</f>
        <v>0</v>
      </c>
      <c r="AD136" s="1">
        <f>IF(AD$4&lt;=核心参数输入!$B$9,IF(ABS(AD106)&lt;=0.000001,0,SIGN(AD106)),0)</f>
        <v>0</v>
      </c>
      <c r="AE136" s="1">
        <f>IF(AE$4&lt;=核心参数输入!$B$9,IF(ABS(AE106)&lt;=0.000001,0,SIGN(AE106)),0)</f>
        <v>0</v>
      </c>
      <c r="AF136" s="1">
        <f>IF(AF$4&lt;=核心参数输入!$B$9,IF(ABS(AF106)&lt;=0.000001,0,SIGN(AF106)),0)</f>
        <v>0</v>
      </c>
      <c r="AG136" s="1">
        <f>IF(AG$4&lt;=核心参数输入!$B$9,IF(ABS(AG106)&lt;=0.000001,0,SIGN(AG106)),0)</f>
        <v>0</v>
      </c>
      <c r="AH136" s="1">
        <f>IF(AH$4&lt;=核心参数输入!$B$9,IF(ABS(AH106)&lt;=0.000001,0,SIGN(AH106)),0)</f>
        <v>0</v>
      </c>
    </row>
    <row r="137" spans="1:34" ht="21" customHeight="1">
      <c r="A137" s="11" t="s">
        <v>303</v>
      </c>
      <c r="B137" s="11" t="s">
        <v>300</v>
      </c>
      <c r="D137" s="1">
        <f>IF(D$4&lt;=核心参数输入!$B$9,IF(D136=0,0,D136),0)</f>
        <v>-1</v>
      </c>
      <c r="E137" s="1">
        <f>IF(E$4&lt;=核心参数输入!$B$9,IF(E136=0,D137,E136),0)</f>
        <v>-1</v>
      </c>
      <c r="F137" s="1">
        <f>IF(F$4&lt;=核心参数输入!$B$9,IF(F136=0,E137,F136),0)</f>
        <v>-1</v>
      </c>
      <c r="G137" s="1">
        <f>IF(G$4&lt;=核心参数输入!$B$9,IF(G136=0,F137,G136),0)</f>
        <v>-1</v>
      </c>
      <c r="H137" s="1">
        <f>IF(H$4&lt;=核心参数输入!$B$9,IF(H136=0,G137,H136),0)</f>
        <v>1</v>
      </c>
      <c r="I137" s="1">
        <f>IF(I$4&lt;=核心参数输入!$B$9,IF(I136=0,H137,I136),0)</f>
        <v>1</v>
      </c>
      <c r="J137" s="1">
        <f>IF(J$4&lt;=核心参数输入!$B$9,IF(J136=0,I137,J136),0)</f>
        <v>1</v>
      </c>
      <c r="K137" s="1">
        <f>IF(K$4&lt;=核心参数输入!$B$9,IF(K136=0,J137,K136),0)</f>
        <v>1</v>
      </c>
      <c r="L137" s="1">
        <f>IF(L$4&lt;=核心参数输入!$B$9,IF(L136=0,K137,L136),0)</f>
        <v>1</v>
      </c>
      <c r="M137" s="1">
        <f>IF(M$4&lt;=核心参数输入!$B$9,IF(M136=0,L137,M136),0)</f>
        <v>1</v>
      </c>
      <c r="N137" s="1">
        <f>IF(N$4&lt;=核心参数输入!$B$9,IF(N136=0,M137,N136),0)</f>
        <v>1</v>
      </c>
      <c r="O137" s="1">
        <f>IF(O$4&lt;=核心参数输入!$B$9,IF(O136=0,N137,O136),0)</f>
        <v>1</v>
      </c>
      <c r="P137" s="1">
        <f>IF(P$4&lt;=核心参数输入!$B$9,IF(P136=0,O137,P136),0)</f>
        <v>1</v>
      </c>
      <c r="Q137" s="1">
        <f>IF(Q$4&lt;=核心参数输入!$B$9,IF(Q136=0,P137,Q136),0)</f>
        <v>1</v>
      </c>
      <c r="R137" s="1">
        <f>IF(R$4&lt;=核心参数输入!$B$9,IF(R136=0,Q137,R136),0)</f>
        <v>1</v>
      </c>
      <c r="S137" s="1">
        <f>IF(S$4&lt;=核心参数输入!$B$9,IF(S136=0,R137,S136),0)</f>
        <v>1</v>
      </c>
      <c r="T137" s="1">
        <f>IF(T$4&lt;=核心参数输入!$B$9,IF(T136=0,S137,T136),0)</f>
        <v>1</v>
      </c>
      <c r="U137" s="1">
        <f>IF(U$4&lt;=核心参数输入!$B$9,IF(U136=0,T137,U136),0)</f>
        <v>1</v>
      </c>
      <c r="V137" s="1">
        <f>IF(V$4&lt;=核心参数输入!$B$9,IF(V136=0,U137,V136),0)</f>
        <v>1</v>
      </c>
      <c r="W137" s="1">
        <f>IF(W$4&lt;=核心参数输入!$B$9,IF(W136=0,V137,W136),0)</f>
        <v>1</v>
      </c>
      <c r="X137" s="1">
        <f>IF(X$4&lt;=核心参数输入!$B$9,IF(X136=0,W137,X136),0)</f>
        <v>1</v>
      </c>
      <c r="Y137" s="1">
        <f>IF(Y$4&lt;=核心参数输入!$B$9,IF(Y136=0,X137,Y136),0)</f>
        <v>0</v>
      </c>
      <c r="Z137" s="1">
        <f>IF(Z$4&lt;=核心参数输入!$B$9,IF(Z136=0,Y137,Z136),0)</f>
        <v>0</v>
      </c>
      <c r="AA137" s="1">
        <f>IF(AA$4&lt;=核心参数输入!$B$9,IF(AA136=0,Z137,AA136),0)</f>
        <v>0</v>
      </c>
      <c r="AB137" s="1">
        <f>IF(AB$4&lt;=核心参数输入!$B$9,IF(AB136=0,AA137,AB136),0)</f>
        <v>0</v>
      </c>
      <c r="AC137" s="1">
        <f>IF(AC$4&lt;=核心参数输入!$B$9,IF(AC136=0,AB137,AC136),0)</f>
        <v>0</v>
      </c>
      <c r="AD137" s="1">
        <f>IF(AD$4&lt;=核心参数输入!$B$9,IF(AD136=0,AC137,AD136),0)</f>
        <v>0</v>
      </c>
      <c r="AE137" s="1">
        <f>IF(AE$4&lt;=核心参数输入!$B$9,IF(AE136=0,AD137,AE136),0)</f>
        <v>0</v>
      </c>
      <c r="AF137" s="1">
        <f>IF(AF$4&lt;=核心参数输入!$B$9,IF(AF136=0,AE137,AF136),0)</f>
        <v>0</v>
      </c>
      <c r="AG137" s="1">
        <f>IF(AG$4&lt;=核心参数输入!$B$9,IF(AG136=0,AF137,AG136),0)</f>
        <v>0</v>
      </c>
      <c r="AH137" s="1">
        <f>IF(AH$4&lt;=核心参数输入!$B$9,IF(AH136=0,AG137,AH136),0)</f>
        <v>0</v>
      </c>
    </row>
    <row r="138" spans="1:34" ht="21" customHeight="1">
      <c r="A138" s="11" t="s">
        <v>304</v>
      </c>
      <c r="B138" s="11" t="s">
        <v>300</v>
      </c>
      <c r="D138" s="1">
        <f>IF(D$4&lt;=核心参数输入!$B$9,IF(AND(D136&lt;&gt;0,0&lt;&gt;0,D136&lt;&gt;0),1,0),0)</f>
        <v>0</v>
      </c>
      <c r="E138" s="1">
        <f>IF(E$4&lt;=核心参数输入!$B$9,IF(AND(E136&lt;&gt;0,D137&lt;&gt;0,E136&lt;&gt;D137),1,0),0)</f>
        <v>0</v>
      </c>
      <c r="F138" s="1">
        <f>IF(F$4&lt;=核心参数输入!$B$9,IF(AND(F136&lt;&gt;0,E137&lt;&gt;0,F136&lt;&gt;E137),1,0),0)</f>
        <v>0</v>
      </c>
      <c r="G138" s="1">
        <f>IF(G$4&lt;=核心参数输入!$B$9,IF(AND(G136&lt;&gt;0,F137&lt;&gt;0,G136&lt;&gt;F137),1,0),0)</f>
        <v>0</v>
      </c>
      <c r="H138" s="1">
        <f>IF(H$4&lt;=核心参数输入!$B$9,IF(AND(H136&lt;&gt;0,G137&lt;&gt;0,H136&lt;&gt;G137),1,0),0)</f>
        <v>1</v>
      </c>
      <c r="I138" s="1">
        <f>IF(I$4&lt;=核心参数输入!$B$9,IF(AND(I136&lt;&gt;0,H137&lt;&gt;0,I136&lt;&gt;H137),1,0),0)</f>
        <v>0</v>
      </c>
      <c r="J138" s="1">
        <f>IF(J$4&lt;=核心参数输入!$B$9,IF(AND(J136&lt;&gt;0,I137&lt;&gt;0,J136&lt;&gt;I137),1,0),0)</f>
        <v>0</v>
      </c>
      <c r="K138" s="1">
        <f>IF(K$4&lt;=核心参数输入!$B$9,IF(AND(K136&lt;&gt;0,J137&lt;&gt;0,K136&lt;&gt;J137),1,0),0)</f>
        <v>0</v>
      </c>
      <c r="L138" s="1">
        <f>IF(L$4&lt;=核心参数输入!$B$9,IF(AND(L136&lt;&gt;0,K137&lt;&gt;0,L136&lt;&gt;K137),1,0),0)</f>
        <v>0</v>
      </c>
      <c r="M138" s="1">
        <f>IF(M$4&lt;=核心参数输入!$B$9,IF(AND(M136&lt;&gt;0,L137&lt;&gt;0,M136&lt;&gt;L137),1,0),0)</f>
        <v>0</v>
      </c>
      <c r="N138" s="1">
        <f>IF(N$4&lt;=核心参数输入!$B$9,IF(AND(N136&lt;&gt;0,M137&lt;&gt;0,N136&lt;&gt;M137),1,0),0)</f>
        <v>0</v>
      </c>
      <c r="O138" s="1">
        <f>IF(O$4&lt;=核心参数输入!$B$9,IF(AND(O136&lt;&gt;0,N137&lt;&gt;0,O136&lt;&gt;N137),1,0),0)</f>
        <v>0</v>
      </c>
      <c r="P138" s="1">
        <f>IF(P$4&lt;=核心参数输入!$B$9,IF(AND(P136&lt;&gt;0,O137&lt;&gt;0,P136&lt;&gt;O137),1,0),0)</f>
        <v>0</v>
      </c>
      <c r="Q138" s="1">
        <f>IF(Q$4&lt;=核心参数输入!$B$9,IF(AND(Q136&lt;&gt;0,P137&lt;&gt;0,Q136&lt;&gt;P137),1,0),0)</f>
        <v>0</v>
      </c>
      <c r="R138" s="1">
        <f>IF(R$4&lt;=核心参数输入!$B$9,IF(AND(R136&lt;&gt;0,Q137&lt;&gt;0,R136&lt;&gt;Q137),1,0),0)</f>
        <v>0</v>
      </c>
      <c r="S138" s="1">
        <f>IF(S$4&lt;=核心参数输入!$B$9,IF(AND(S136&lt;&gt;0,R137&lt;&gt;0,S136&lt;&gt;R137),1,0),0)</f>
        <v>0</v>
      </c>
      <c r="T138" s="1">
        <f>IF(T$4&lt;=核心参数输入!$B$9,IF(AND(T136&lt;&gt;0,S137&lt;&gt;0,T136&lt;&gt;S137),1,0),0)</f>
        <v>0</v>
      </c>
      <c r="U138" s="1">
        <f>IF(U$4&lt;=核心参数输入!$B$9,IF(AND(U136&lt;&gt;0,T137&lt;&gt;0,U136&lt;&gt;T137),1,0),0)</f>
        <v>0</v>
      </c>
      <c r="V138" s="1">
        <f>IF(V$4&lt;=核心参数输入!$B$9,IF(AND(V136&lt;&gt;0,U137&lt;&gt;0,V136&lt;&gt;U137),1,0),0)</f>
        <v>0</v>
      </c>
      <c r="W138" s="1">
        <f>IF(W$4&lt;=核心参数输入!$B$9,IF(AND(W136&lt;&gt;0,V137&lt;&gt;0,W136&lt;&gt;V137),1,0),0)</f>
        <v>0</v>
      </c>
      <c r="X138" s="1">
        <f>IF(X$4&lt;=核心参数输入!$B$9,IF(AND(X136&lt;&gt;0,W137&lt;&gt;0,X136&lt;&gt;W137),1,0),0)</f>
        <v>0</v>
      </c>
      <c r="Y138" s="1">
        <f>IF(Y$4&lt;=核心参数输入!$B$9,IF(AND(Y136&lt;&gt;0,X137&lt;&gt;0,Y136&lt;&gt;X137),1,0),0)</f>
        <v>0</v>
      </c>
      <c r="Z138" s="1">
        <f>IF(Z$4&lt;=核心参数输入!$B$9,IF(AND(Z136&lt;&gt;0,Y137&lt;&gt;0,Z136&lt;&gt;Y137),1,0),0)</f>
        <v>0</v>
      </c>
      <c r="AA138" s="1">
        <f>IF(AA$4&lt;=核心参数输入!$B$9,IF(AND(AA136&lt;&gt;0,Z137&lt;&gt;0,AA136&lt;&gt;Z137),1,0),0)</f>
        <v>0</v>
      </c>
      <c r="AB138" s="1">
        <f>IF(AB$4&lt;=核心参数输入!$B$9,IF(AND(AB136&lt;&gt;0,AA137&lt;&gt;0,AB136&lt;&gt;AA137),1,0),0)</f>
        <v>0</v>
      </c>
      <c r="AC138" s="1">
        <f>IF(AC$4&lt;=核心参数输入!$B$9,IF(AND(AC136&lt;&gt;0,AB137&lt;&gt;0,AC136&lt;&gt;AB137),1,0),0)</f>
        <v>0</v>
      </c>
      <c r="AD138" s="1">
        <f>IF(AD$4&lt;=核心参数输入!$B$9,IF(AND(AD136&lt;&gt;0,AC137&lt;&gt;0,AD136&lt;&gt;AC137),1,0),0)</f>
        <v>0</v>
      </c>
      <c r="AE138" s="1">
        <f>IF(AE$4&lt;=核心参数输入!$B$9,IF(AND(AE136&lt;&gt;0,AD137&lt;&gt;0,AE136&lt;&gt;AD137),1,0),0)</f>
        <v>0</v>
      </c>
      <c r="AF138" s="1">
        <f>IF(AF$4&lt;=核心参数输入!$B$9,IF(AND(AF136&lt;&gt;0,AE137&lt;&gt;0,AF136&lt;&gt;AE137),1,0),0)</f>
        <v>0</v>
      </c>
      <c r="AG138" s="1">
        <f>IF(AG$4&lt;=核心参数输入!$B$9,IF(AND(AG136&lt;&gt;0,AF137&lt;&gt;0,AG136&lt;&gt;AF137),1,0),0)</f>
        <v>0</v>
      </c>
      <c r="AH138" s="1">
        <f>IF(AH$4&lt;=核心参数输入!$B$9,IF(AND(AH136&lt;&gt;0,AG137&lt;&gt;0,AH136&lt;&gt;AG137),1,0),0)</f>
        <v>0</v>
      </c>
    </row>
    <row r="139" spans="1:34" ht="21" customHeight="1">
      <c r="A139" s="11" t="s">
        <v>305</v>
      </c>
      <c r="B139" s="11" t="s">
        <v>54</v>
      </c>
      <c r="D139" s="1">
        <f>IF(D$4&lt;=核心参数输入!$B$9,D113+D111+D114-D115-D116,0)</f>
        <v>0</v>
      </c>
      <c r="E139" s="1">
        <f>IF(E$4&lt;=核心参数输入!$B$9,E113+E111+E114-E115-E116,0)</f>
        <v>0</v>
      </c>
      <c r="F139" s="1">
        <f>IF(F$4&lt;=核心参数输入!$B$9,F113+F111+F114-F115-F116,0)</f>
        <v>0</v>
      </c>
      <c r="G139" s="1">
        <f>IF(G$4&lt;=核心参数输入!$B$9,G113+G111+G114-G115-G116,0)</f>
        <v>0</v>
      </c>
      <c r="H139" s="1">
        <f>IF(H$4&lt;=核心参数输入!$B$9,H113+H111+H114-H115-H116,0)</f>
        <v>0</v>
      </c>
      <c r="I139" s="1">
        <f>IF(I$4&lt;=核心参数输入!$B$9,I113+I111+I114-I115-I116,0)</f>
        <v>0</v>
      </c>
      <c r="J139" s="1">
        <f>IF(J$4&lt;=核心参数输入!$B$9,J113+J111+J114-J115-J116,0)</f>
        <v>0</v>
      </c>
      <c r="K139" s="1">
        <f>IF(K$4&lt;=核心参数输入!$B$9,K113+K111+K114-K115-K116,0)</f>
        <v>0</v>
      </c>
      <c r="L139" s="1">
        <f>IF(L$4&lt;=核心参数输入!$B$9,L113+L111+L114-L115-L116,0)</f>
        <v>0</v>
      </c>
      <c r="M139" s="1">
        <f>IF(M$4&lt;=核心参数输入!$B$9,M113+M111+M114-M115-M116,0)</f>
        <v>0</v>
      </c>
      <c r="N139" s="1">
        <f>IF(N$4&lt;=核心参数输入!$B$9,N113+N111+N114-N115-N116,0)</f>
        <v>0</v>
      </c>
      <c r="O139" s="1">
        <f>IF(O$4&lt;=核心参数输入!$B$9,O113+O111+O114-O115-O116,0)</f>
        <v>0</v>
      </c>
      <c r="P139" s="1">
        <f>IF(P$4&lt;=核心参数输入!$B$9,P113+P111+P114-P115-P116,0)</f>
        <v>0</v>
      </c>
      <c r="Q139" s="1">
        <f>IF(Q$4&lt;=核心参数输入!$B$9,Q113+Q111+Q114-Q115-Q116,0)</f>
        <v>0</v>
      </c>
      <c r="R139" s="1">
        <f>IF(R$4&lt;=核心参数输入!$B$9,R113+R111+R114-R115-R116,0)</f>
        <v>0</v>
      </c>
      <c r="S139" s="1">
        <f>IF(S$4&lt;=核心参数输入!$B$9,S113+S111+S114-S115-S116,0)</f>
        <v>0</v>
      </c>
      <c r="T139" s="1">
        <f>IF(T$4&lt;=核心参数输入!$B$9,T113+T111+T114-T115-T116,0)</f>
        <v>0</v>
      </c>
      <c r="U139" s="1">
        <f>IF(U$4&lt;=核心参数输入!$B$9,U113+U111+U114-U115-U116,0)</f>
        <v>0</v>
      </c>
      <c r="V139" s="1">
        <f>IF(V$4&lt;=核心参数输入!$B$9,V113+V111+V114-V115-V116,0)</f>
        <v>0</v>
      </c>
      <c r="W139" s="1">
        <f>IF(W$4&lt;=核心参数输入!$B$9,W113+W111+W114-W115-W116,0)</f>
        <v>0</v>
      </c>
      <c r="X139" s="1">
        <f>IF(X$4&lt;=核心参数输入!$B$9,X113+X111+X114-X115-X116,0)</f>
        <v>0</v>
      </c>
      <c r="Y139" s="1">
        <f>IF(Y$4&lt;=核心参数输入!$B$9,Y113+Y111+Y114-Y115-Y116,0)</f>
        <v>0</v>
      </c>
      <c r="Z139" s="1">
        <f>IF(Z$4&lt;=核心参数输入!$B$9,Z113+Z111+Z114-Z115-Z116,0)</f>
        <v>0</v>
      </c>
      <c r="AA139" s="1">
        <f>IF(AA$4&lt;=核心参数输入!$B$9,AA113+AA111+AA114-AA115-AA116,0)</f>
        <v>0</v>
      </c>
      <c r="AB139" s="1">
        <f>IF(AB$4&lt;=核心参数输入!$B$9,AB113+AB111+AB114-AB115-AB116,0)</f>
        <v>0</v>
      </c>
      <c r="AC139" s="1">
        <f>IF(AC$4&lt;=核心参数输入!$B$9,AC113+AC111+AC114-AC115-AC116,0)</f>
        <v>0</v>
      </c>
      <c r="AD139" s="1">
        <f>IF(AD$4&lt;=核心参数输入!$B$9,AD113+AD111+AD114-AD115-AD116,0)</f>
        <v>0</v>
      </c>
      <c r="AE139" s="1">
        <f>IF(AE$4&lt;=核心参数输入!$B$9,AE113+AE111+AE114-AE115-AE116,0)</f>
        <v>0</v>
      </c>
      <c r="AF139" s="1">
        <f>IF(AF$4&lt;=核心参数输入!$B$9,AF113+AF111+AF114-AF115-AF116,0)</f>
        <v>0</v>
      </c>
      <c r="AG139" s="1">
        <f>IF(AG$4&lt;=核心参数输入!$B$9,AG113+AG111+AG114-AG115-AG116,0)</f>
        <v>0</v>
      </c>
      <c r="AH139" s="1">
        <f>IF(AH$4&lt;=核心参数输入!$B$9,AH113+AH111+AH114-AH115-AH116,0)</f>
        <v>0</v>
      </c>
    </row>
    <row r="140" spans="1:34" ht="21" customHeight="1">
      <c r="A140" s="11" t="s">
        <v>306</v>
      </c>
      <c r="B140" s="11" t="s">
        <v>54</v>
      </c>
      <c r="D140" s="1">
        <f>IF(D$4&lt;=核心参数输入!$B$9,D119-D120+D111+D122-D123-D124+D125,0)</f>
        <v>0</v>
      </c>
      <c r="E140" s="1">
        <f>IF(E$4&lt;=核心参数输入!$B$9,E119-E120+E111+E122-E123-E124+E125,0)</f>
        <v>0</v>
      </c>
      <c r="F140" s="1">
        <f>IF(F$4&lt;=核心参数输入!$B$9,F119-F120+F111+F122-F123-F124+F125,0)</f>
        <v>0</v>
      </c>
      <c r="G140" s="1">
        <f>IF(G$4&lt;=核心参数输入!$B$9,G119-G120+G111+G122-G123-G124+G125,0)</f>
        <v>0</v>
      </c>
      <c r="H140" s="1">
        <f>IF(H$4&lt;=核心参数输入!$B$9,H119-H120+H111+H122-H123-H124+H125,0)</f>
        <v>0</v>
      </c>
      <c r="I140" s="1">
        <f>IF(I$4&lt;=核心参数输入!$B$9,I119-I120+I111+I122-I123-I124+I125,0)</f>
        <v>0</v>
      </c>
      <c r="J140" s="1">
        <f>IF(J$4&lt;=核心参数输入!$B$9,J119-J120+J111+J122-J123-J124+J125,0)</f>
        <v>0</v>
      </c>
      <c r="K140" s="1">
        <f>IF(K$4&lt;=核心参数输入!$B$9,K119-K120+K111+K122-K123-K124+K125,0)</f>
        <v>0</v>
      </c>
      <c r="L140" s="1">
        <f>IF(L$4&lt;=核心参数输入!$B$9,L119-L120+L111+L122-L123-L124+L125,0)</f>
        <v>0</v>
      </c>
      <c r="M140" s="1">
        <f>IF(M$4&lt;=核心参数输入!$B$9,M119-M120+M111+M122-M123-M124+M125,0)</f>
        <v>0</v>
      </c>
      <c r="N140" s="1">
        <f>IF(N$4&lt;=核心参数输入!$B$9,N119-N120+N111+N122-N123-N124+N125,0)</f>
        <v>0</v>
      </c>
      <c r="O140" s="1">
        <f>IF(O$4&lt;=核心参数输入!$B$9,O119-O120+O111+O122-O123-O124+O125,0)</f>
        <v>0</v>
      </c>
      <c r="P140" s="1">
        <f>IF(P$4&lt;=核心参数输入!$B$9,P119-P120+P111+P122-P123-P124+P125,0)</f>
        <v>0</v>
      </c>
      <c r="Q140" s="1">
        <f>IF(Q$4&lt;=核心参数输入!$B$9,Q119-Q120+Q111+Q122-Q123-Q124+Q125,0)</f>
        <v>0</v>
      </c>
      <c r="R140" s="1">
        <f>IF(R$4&lt;=核心参数输入!$B$9,R119-R120+R111+R122-R123-R124+R125,0)</f>
        <v>0</v>
      </c>
      <c r="S140" s="1">
        <f>IF(S$4&lt;=核心参数输入!$B$9,S119-S120+S111+S122-S123-S124+S125,0)</f>
        <v>0</v>
      </c>
      <c r="T140" s="1">
        <f>IF(T$4&lt;=核心参数输入!$B$9,T119-T120+T111+T122-T123-T124+T125,0)</f>
        <v>0</v>
      </c>
      <c r="U140" s="1">
        <f>IF(U$4&lt;=核心参数输入!$B$9,U119-U120+U111+U122-U123-U124+U125,0)</f>
        <v>0</v>
      </c>
      <c r="V140" s="1">
        <f>IF(V$4&lt;=核心参数输入!$B$9,V119-V120+V111+V122-V123-V124+V125,0)</f>
        <v>0</v>
      </c>
      <c r="W140" s="1">
        <f>IF(W$4&lt;=核心参数输入!$B$9,W119-W120+W111+W122-W123-W124+W125,0)</f>
        <v>0</v>
      </c>
      <c r="X140" s="1">
        <f>IF(X$4&lt;=核心参数输入!$B$9,X119-X120+X111+X122-X123-X124+X125,0)</f>
        <v>0</v>
      </c>
      <c r="Y140" s="1">
        <f>IF(Y$4&lt;=核心参数输入!$B$9,Y119-Y120+Y111+Y122-Y123-Y124+Y125,0)</f>
        <v>0</v>
      </c>
      <c r="Z140" s="1">
        <f>IF(Z$4&lt;=核心参数输入!$B$9,Z119-Z120+Z111+Z122-Z123-Z124+Z125,0)</f>
        <v>0</v>
      </c>
      <c r="AA140" s="1">
        <f>IF(AA$4&lt;=核心参数输入!$B$9,AA119-AA120+AA111+AA122-AA123-AA124+AA125,0)</f>
        <v>0</v>
      </c>
      <c r="AB140" s="1">
        <f>IF(AB$4&lt;=核心参数输入!$B$9,AB119-AB120+AB111+AB122-AB123-AB124+AB125,0)</f>
        <v>0</v>
      </c>
      <c r="AC140" s="1">
        <f>IF(AC$4&lt;=核心参数输入!$B$9,AC119-AC120+AC111+AC122-AC123-AC124+AC125,0)</f>
        <v>0</v>
      </c>
      <c r="AD140" s="1">
        <f>IF(AD$4&lt;=核心参数输入!$B$9,AD119-AD120+AD111+AD122-AD123-AD124+AD125,0)</f>
        <v>0</v>
      </c>
      <c r="AE140" s="1">
        <f>IF(AE$4&lt;=核心参数输入!$B$9,AE119-AE120+AE111+AE122-AE123-AE124+AE125,0)</f>
        <v>0</v>
      </c>
      <c r="AF140" s="1">
        <f>IF(AF$4&lt;=核心参数输入!$B$9,AF119-AF120+AF111+AF122-AF123-AF124+AF125,0)</f>
        <v>0</v>
      </c>
      <c r="AG140" s="1">
        <f>IF(AG$4&lt;=核心参数输入!$B$9,AG119-AG120+AG111+AG122-AG123-AG124+AG125,0)</f>
        <v>0</v>
      </c>
      <c r="AH140" s="1">
        <f>IF(AH$4&lt;=核心参数输入!$B$9,AH119-AH120+AH111+AH122-AH123-AH124+AH125,0)</f>
        <v>0</v>
      </c>
    </row>
    <row r="141" spans="1:34" ht="21" customHeight="1">
      <c r="A141" s="11" t="s">
        <v>307</v>
      </c>
      <c r="B141" s="11" t="s">
        <v>54</v>
      </c>
      <c r="D141" s="1">
        <f>IF(D$4&lt;=核心参数输入!$B$9,IF(D115&gt;0.01,SUM(E114:$AH114),0),0)</f>
        <v>0</v>
      </c>
      <c r="E141" s="1">
        <f>IF(E$4&lt;=核心参数输入!$B$9,IF(E115&gt;0.01,SUM(F114:$AH114),0),0)</f>
        <v>0</v>
      </c>
      <c r="F141" s="1">
        <f>IF(F$4&lt;=核心参数输入!$B$9,IF(F115&gt;0.01,SUM(G114:$AH114),0),0)</f>
        <v>0</v>
      </c>
      <c r="G141" s="1">
        <f>IF(G$4&lt;=核心参数输入!$B$9,IF(G115&gt;0.01,SUM(H114:$AH114),0),0)</f>
        <v>0</v>
      </c>
      <c r="H141" s="1">
        <f>IF(H$4&lt;=核心参数输入!$B$9,IF(H115&gt;0.01,SUM(I114:$AH114),0),0)</f>
        <v>1.3642420526593924E-12</v>
      </c>
      <c r="I141" s="1">
        <f>IF(I$4&lt;=核心参数输入!$B$9,IF(I115&gt;0.01,SUM(J114:$AH114),0),0)</f>
        <v>1.3642420526593924E-12</v>
      </c>
      <c r="J141" s="1">
        <f>IF(J$4&lt;=核心参数输入!$B$9,IF(J115&gt;0.01,SUM(K114:$AH114),0),0)</f>
        <v>0</v>
      </c>
      <c r="K141" s="1">
        <f>IF(K$4&lt;=核心参数输入!$B$9,IF(K115&gt;0.01,SUM(L114:$AH114),0),0)</f>
        <v>0</v>
      </c>
      <c r="L141" s="1">
        <f>IF(L$4&lt;=核心参数输入!$B$9,IF(L115&gt;0.01,SUM(M114:$AH114),0),0)</f>
        <v>0</v>
      </c>
      <c r="M141" s="1">
        <f>IF(M$4&lt;=核心参数输入!$B$9,IF(M115&gt;0.01,SUM(N114:$AH114),0),0)</f>
        <v>0</v>
      </c>
      <c r="N141" s="1">
        <f>IF(N$4&lt;=核心参数输入!$B$9,IF(N115&gt;0.01,SUM(O114:$AH114),0),0)</f>
        <v>0</v>
      </c>
      <c r="O141" s="1">
        <f>IF(O$4&lt;=核心参数输入!$B$9,IF(O115&gt;0.01,SUM(P114:$AH114),0),0)</f>
        <v>0</v>
      </c>
      <c r="P141" s="1">
        <f>IF(P$4&lt;=核心参数输入!$B$9,IF(P115&gt;0.01,SUM(Q114:$AH114),0),0)</f>
        <v>0</v>
      </c>
      <c r="Q141" s="1">
        <f>IF(Q$4&lt;=核心参数输入!$B$9,IF(Q115&gt;0.01,SUM(R114:$AH114),0),0)</f>
        <v>0</v>
      </c>
      <c r="R141" s="1">
        <f>IF(R$4&lt;=核心参数输入!$B$9,IF(R115&gt;0.01,SUM(S114:$AH114),0),0)</f>
        <v>0</v>
      </c>
      <c r="S141" s="1">
        <f>IF(S$4&lt;=核心参数输入!$B$9,IF(S115&gt;0.01,SUM(T114:$AH114),0),0)</f>
        <v>0</v>
      </c>
      <c r="T141" s="1">
        <f>IF(T$4&lt;=核心参数输入!$B$9,IF(T115&gt;0.01,SUM(U114:$AH114),0),0)</f>
        <v>0</v>
      </c>
      <c r="U141" s="1">
        <f>IF(U$4&lt;=核心参数输入!$B$9,IF(U115&gt;0.01,SUM(V114:$AH114),0),0)</f>
        <v>0</v>
      </c>
      <c r="V141" s="1">
        <f>IF(V$4&lt;=核心参数输入!$B$9,IF(V115&gt;0.01,SUM(W114:$AH114),0),0)</f>
        <v>0</v>
      </c>
      <c r="W141" s="1">
        <f>IF(W$4&lt;=核心参数输入!$B$9,IF(W115&gt;0.01,SUM(X114:$AH114),0),0)</f>
        <v>0</v>
      </c>
      <c r="X141" s="1">
        <f>IF(X$4&lt;=核心参数输入!$B$9,IF(X115&gt;0.01,SUM(Y114:$AH114),0),0)</f>
        <v>0</v>
      </c>
      <c r="Y141" s="1">
        <f>IF(Y$4&lt;=核心参数输入!$B$9,IF(Y115&gt;0.01,SUM(Z114:$AH114),0),0)</f>
        <v>0</v>
      </c>
      <c r="Z141" s="1">
        <f>IF(Z$4&lt;=核心参数输入!$B$9,IF(Z115&gt;0.01,SUM(AA114:$AH114),0),0)</f>
        <v>0</v>
      </c>
      <c r="AA141" s="1">
        <f>IF(AA$4&lt;=核心参数输入!$B$9,IF(AA115&gt;0.01,SUM(AB114:$AH114),0),0)</f>
        <v>0</v>
      </c>
      <c r="AB141" s="1">
        <f>IF(AB$4&lt;=核心参数输入!$B$9,IF(AB115&gt;0.01,SUM(AC114:$AH114),0),0)</f>
        <v>0</v>
      </c>
      <c r="AC141" s="1">
        <f>IF(AC$4&lt;=核心参数输入!$B$9,IF(AC115&gt;0.01,SUM(AD114:$AH114),0),0)</f>
        <v>0</v>
      </c>
      <c r="AD141" s="1">
        <f>IF(AD$4&lt;=核心参数输入!$B$9,IF(AD115&gt;0.01,SUM(AE114:$AH114),0),0)</f>
        <v>0</v>
      </c>
      <c r="AE141" s="1">
        <f>IF(AE$4&lt;=核心参数输入!$B$9,IF(AE115&gt;0.01,SUM(AF114:$AH114),0),0)</f>
        <v>0</v>
      </c>
      <c r="AF141" s="1">
        <f>IF(AF$4&lt;=核心参数输入!$B$9,IF(AF115&gt;0.01,SUM(AG114:$AH114),0),0)</f>
        <v>0</v>
      </c>
      <c r="AG141" s="1">
        <f>IF(AG$4&lt;=核心参数输入!$B$9,IF(AG115&gt;0.01,SUM(AH114:$AH114),0),0)</f>
        <v>0</v>
      </c>
      <c r="AH141" s="1">
        <f>IF(AH$4&lt;=核心参数输入!$B$9,0,0)</f>
        <v>0</v>
      </c>
    </row>
    <row r="142" spans="1:34" ht="21" customHeight="1">
      <c r="A142" s="11" t="s">
        <v>308</v>
      </c>
      <c r="B142" s="11" t="s">
        <v>300</v>
      </c>
      <c r="D142" s="1">
        <f>IF(D$4&lt;=核心参数输入!$B$9,IF(ABS(D118)&lt;=0.000001,0,SIGN(D118)),0)</f>
        <v>-1</v>
      </c>
      <c r="E142" s="1">
        <f>IF(E$4&lt;=核心参数输入!$B$9,IF(ABS(E118)&lt;=0.000001,0,SIGN(E118)),0)</f>
        <v>-1</v>
      </c>
      <c r="F142" s="1">
        <f>IF(F$4&lt;=核心参数输入!$B$9,IF(ABS(F118)&lt;=0.000001,0,SIGN(F118)),0)</f>
        <v>-1</v>
      </c>
      <c r="G142" s="1">
        <f>IF(G$4&lt;=核心参数输入!$B$9,IF(ABS(G118)&lt;=0.000001,0,SIGN(G118)),0)</f>
        <v>-1</v>
      </c>
      <c r="H142" s="1">
        <f>IF(H$4&lt;=核心参数输入!$B$9,IF(ABS(H118)&lt;=0.000001,0,SIGN(H118)),0)</f>
        <v>1</v>
      </c>
      <c r="I142" s="1">
        <f>IF(I$4&lt;=核心参数输入!$B$9,IF(ABS(I118)&lt;=0.000001,0,SIGN(I118)),0)</f>
        <v>1</v>
      </c>
      <c r="J142" s="1">
        <f>IF(J$4&lt;=核心参数输入!$B$9,IF(ABS(J118)&lt;=0.000001,0,SIGN(J118)),0)</f>
        <v>0</v>
      </c>
      <c r="K142" s="1">
        <f>IF(K$4&lt;=核心参数输入!$B$9,IF(ABS(K118)&lt;=0.000001,0,SIGN(K118)),0)</f>
        <v>0</v>
      </c>
      <c r="L142" s="1">
        <f>IF(L$4&lt;=核心参数输入!$B$9,IF(ABS(L118)&lt;=0.000001,0,SIGN(L118)),0)</f>
        <v>0</v>
      </c>
      <c r="M142" s="1">
        <f>IF(M$4&lt;=核心参数输入!$B$9,IF(ABS(M118)&lt;=0.000001,0,SIGN(M118)),0)</f>
        <v>0</v>
      </c>
      <c r="N142" s="1">
        <f>IF(N$4&lt;=核心参数输入!$B$9,IF(ABS(N118)&lt;=0.000001,0,SIGN(N118)),0)</f>
        <v>0</v>
      </c>
      <c r="O142" s="1">
        <f>IF(O$4&lt;=核心参数输入!$B$9,IF(ABS(O118)&lt;=0.000001,0,SIGN(O118)),0)</f>
        <v>1</v>
      </c>
      <c r="P142" s="1">
        <f>IF(P$4&lt;=核心参数输入!$B$9,IF(ABS(P118)&lt;=0.000001,0,SIGN(P118)),0)</f>
        <v>1</v>
      </c>
      <c r="Q142" s="1">
        <f>IF(Q$4&lt;=核心参数输入!$B$9,IF(ABS(Q118)&lt;=0.000001,0,SIGN(Q118)),0)</f>
        <v>1</v>
      </c>
      <c r="R142" s="1">
        <f>IF(R$4&lt;=核心参数输入!$B$9,IF(ABS(R118)&lt;=0.000001,0,SIGN(R118)),0)</f>
        <v>1</v>
      </c>
      <c r="S142" s="1">
        <f>IF(S$4&lt;=核心参数输入!$B$9,IF(ABS(S118)&lt;=0.000001,0,SIGN(S118)),0)</f>
        <v>1</v>
      </c>
      <c r="T142" s="1">
        <f>IF(T$4&lt;=核心参数输入!$B$9,IF(ABS(T118)&lt;=0.000001,0,SIGN(T118)),0)</f>
        <v>1</v>
      </c>
      <c r="U142" s="1">
        <f>IF(U$4&lt;=核心参数输入!$B$9,IF(ABS(U118)&lt;=0.000001,0,SIGN(U118)),0)</f>
        <v>1</v>
      </c>
      <c r="V142" s="1">
        <f>IF(V$4&lt;=核心参数输入!$B$9,IF(ABS(V118)&lt;=0.000001,0,SIGN(V118)),0)</f>
        <v>1</v>
      </c>
      <c r="W142" s="1">
        <f>IF(W$4&lt;=核心参数输入!$B$9,IF(ABS(W118)&lt;=0.000001,0,SIGN(W118)),0)</f>
        <v>1</v>
      </c>
      <c r="X142" s="1">
        <f>IF(X$4&lt;=核心参数输入!$B$9,IF(ABS(X118)&lt;=0.000001,0,SIGN(X118)),0)</f>
        <v>1</v>
      </c>
      <c r="Y142" s="1">
        <f>IF(Y$4&lt;=核心参数输入!$B$9,IF(ABS(Y118)&lt;=0.000001,0,SIGN(Y118)),0)</f>
        <v>0</v>
      </c>
      <c r="Z142" s="1">
        <f>IF(Z$4&lt;=核心参数输入!$B$9,IF(ABS(Z118)&lt;=0.000001,0,SIGN(Z118)),0)</f>
        <v>0</v>
      </c>
      <c r="AA142" s="1">
        <f>IF(AA$4&lt;=核心参数输入!$B$9,IF(ABS(AA118)&lt;=0.000001,0,SIGN(AA118)),0)</f>
        <v>0</v>
      </c>
      <c r="AB142" s="1">
        <f>IF(AB$4&lt;=核心参数输入!$B$9,IF(ABS(AB118)&lt;=0.000001,0,SIGN(AB118)),0)</f>
        <v>0</v>
      </c>
      <c r="AC142" s="1">
        <f>IF(AC$4&lt;=核心参数输入!$B$9,IF(ABS(AC118)&lt;=0.000001,0,SIGN(AC118)),0)</f>
        <v>0</v>
      </c>
      <c r="AD142" s="1">
        <f>IF(AD$4&lt;=核心参数输入!$B$9,IF(ABS(AD118)&lt;=0.000001,0,SIGN(AD118)),0)</f>
        <v>0</v>
      </c>
      <c r="AE142" s="1">
        <f>IF(AE$4&lt;=核心参数输入!$B$9,IF(ABS(AE118)&lt;=0.000001,0,SIGN(AE118)),0)</f>
        <v>0</v>
      </c>
      <c r="AF142" s="1">
        <f>IF(AF$4&lt;=核心参数输入!$B$9,IF(ABS(AF118)&lt;=0.000001,0,SIGN(AF118)),0)</f>
        <v>0</v>
      </c>
      <c r="AG142" s="1">
        <f>IF(AG$4&lt;=核心参数输入!$B$9,IF(ABS(AG118)&lt;=0.000001,0,SIGN(AG118)),0)</f>
        <v>0</v>
      </c>
      <c r="AH142" s="1">
        <f>IF(AH$4&lt;=核心参数输入!$B$9,IF(ABS(AH118)&lt;=0.000001,0,SIGN(AH118)),0)</f>
        <v>0</v>
      </c>
    </row>
    <row r="143" spans="1:34" ht="21" customHeight="1">
      <c r="A143" s="11" t="s">
        <v>309</v>
      </c>
      <c r="B143" s="11" t="s">
        <v>300</v>
      </c>
      <c r="D143" s="1">
        <f>IF(D$4&lt;=核心参数输入!$B$9,IF(D142=0,0,D142),0)</f>
        <v>-1</v>
      </c>
      <c r="E143" s="1">
        <f>IF(E$4&lt;=核心参数输入!$B$9,IF(E142=0,D143,E142),0)</f>
        <v>-1</v>
      </c>
      <c r="F143" s="1">
        <f>IF(F$4&lt;=核心参数输入!$B$9,IF(F142=0,E143,F142),0)</f>
        <v>-1</v>
      </c>
      <c r="G143" s="1">
        <f>IF(G$4&lt;=核心参数输入!$B$9,IF(G142=0,F143,G142),0)</f>
        <v>-1</v>
      </c>
      <c r="H143" s="1">
        <f>IF(H$4&lt;=核心参数输入!$B$9,IF(H142=0,G143,H142),0)</f>
        <v>1</v>
      </c>
      <c r="I143" s="1">
        <f>IF(I$4&lt;=核心参数输入!$B$9,IF(I142=0,H143,I142),0)</f>
        <v>1</v>
      </c>
      <c r="J143" s="1">
        <f>IF(J$4&lt;=核心参数输入!$B$9,IF(J142=0,I143,J142),0)</f>
        <v>1</v>
      </c>
      <c r="K143" s="1">
        <f>IF(K$4&lt;=核心参数输入!$B$9,IF(K142=0,J143,K142),0)</f>
        <v>1</v>
      </c>
      <c r="L143" s="1">
        <f>IF(L$4&lt;=核心参数输入!$B$9,IF(L142=0,K143,L142),0)</f>
        <v>1</v>
      </c>
      <c r="M143" s="1">
        <f>IF(M$4&lt;=核心参数输入!$B$9,IF(M142=0,L143,M142),0)</f>
        <v>1</v>
      </c>
      <c r="N143" s="1">
        <f>IF(N$4&lt;=核心参数输入!$B$9,IF(N142=0,M143,N142),0)</f>
        <v>1</v>
      </c>
      <c r="O143" s="1">
        <f>IF(O$4&lt;=核心参数输入!$B$9,IF(O142=0,N143,O142),0)</f>
        <v>1</v>
      </c>
      <c r="P143" s="1">
        <f>IF(P$4&lt;=核心参数输入!$B$9,IF(P142=0,O143,P142),0)</f>
        <v>1</v>
      </c>
      <c r="Q143" s="1">
        <f>IF(Q$4&lt;=核心参数输入!$B$9,IF(Q142=0,P143,Q142),0)</f>
        <v>1</v>
      </c>
      <c r="R143" s="1">
        <f>IF(R$4&lt;=核心参数输入!$B$9,IF(R142=0,Q143,R142),0)</f>
        <v>1</v>
      </c>
      <c r="S143" s="1">
        <f>IF(S$4&lt;=核心参数输入!$B$9,IF(S142=0,R143,S142),0)</f>
        <v>1</v>
      </c>
      <c r="T143" s="1">
        <f>IF(T$4&lt;=核心参数输入!$B$9,IF(T142=0,S143,T142),0)</f>
        <v>1</v>
      </c>
      <c r="U143" s="1">
        <f>IF(U$4&lt;=核心参数输入!$B$9,IF(U142=0,T143,U142),0)</f>
        <v>1</v>
      </c>
      <c r="V143" s="1">
        <f>IF(V$4&lt;=核心参数输入!$B$9,IF(V142=0,U143,V142),0)</f>
        <v>1</v>
      </c>
      <c r="W143" s="1">
        <f>IF(W$4&lt;=核心参数输入!$B$9,IF(W142=0,V143,W142),0)</f>
        <v>1</v>
      </c>
      <c r="X143" s="1">
        <f>IF(X$4&lt;=核心参数输入!$B$9,IF(X142=0,W143,X142),0)</f>
        <v>1</v>
      </c>
      <c r="Y143" s="1">
        <f>IF(Y$4&lt;=核心参数输入!$B$9,IF(Y142=0,X143,Y142),0)</f>
        <v>0</v>
      </c>
      <c r="Z143" s="1">
        <f>IF(Z$4&lt;=核心参数输入!$B$9,IF(Z142=0,Y143,Z142),0)</f>
        <v>0</v>
      </c>
      <c r="AA143" s="1">
        <f>IF(AA$4&lt;=核心参数输入!$B$9,IF(AA142=0,Z143,AA142),0)</f>
        <v>0</v>
      </c>
      <c r="AB143" s="1">
        <f>IF(AB$4&lt;=核心参数输入!$B$9,IF(AB142=0,AA143,AB142),0)</f>
        <v>0</v>
      </c>
      <c r="AC143" s="1">
        <f>IF(AC$4&lt;=核心参数输入!$B$9,IF(AC142=0,AB143,AC142),0)</f>
        <v>0</v>
      </c>
      <c r="AD143" s="1">
        <f>IF(AD$4&lt;=核心参数输入!$B$9,IF(AD142=0,AC143,AD142),0)</f>
        <v>0</v>
      </c>
      <c r="AE143" s="1">
        <f>IF(AE$4&lt;=核心参数输入!$B$9,IF(AE142=0,AD143,AE142),0)</f>
        <v>0</v>
      </c>
      <c r="AF143" s="1">
        <f>IF(AF$4&lt;=核心参数输入!$B$9,IF(AF142=0,AE143,AF142),0)</f>
        <v>0</v>
      </c>
      <c r="AG143" s="1">
        <f>IF(AG$4&lt;=核心参数输入!$B$9,IF(AG142=0,AF143,AG142),0)</f>
        <v>0</v>
      </c>
      <c r="AH143" s="1">
        <f>IF(AH$4&lt;=核心参数输入!$B$9,IF(AH142=0,AG143,AH142),0)</f>
        <v>0</v>
      </c>
    </row>
    <row r="144" spans="1:34" ht="21" customHeight="1">
      <c r="A144" s="11" t="s">
        <v>310</v>
      </c>
      <c r="B144" s="11" t="s">
        <v>300</v>
      </c>
      <c r="D144" s="1">
        <f>IF(D$4&lt;=核心参数输入!$B$9,IF(AND(D142&lt;&gt;0,0&lt;&gt;0,D142&lt;&gt;0),1,0),0)</f>
        <v>0</v>
      </c>
      <c r="E144" s="1">
        <f>IF(E$4&lt;=核心参数输入!$B$9,IF(AND(E142&lt;&gt;0,D143&lt;&gt;0,E142&lt;&gt;D143),1,0),0)</f>
        <v>0</v>
      </c>
      <c r="F144" s="1">
        <f>IF(F$4&lt;=核心参数输入!$B$9,IF(AND(F142&lt;&gt;0,E143&lt;&gt;0,F142&lt;&gt;E143),1,0),0)</f>
        <v>0</v>
      </c>
      <c r="G144" s="1">
        <f>IF(G$4&lt;=核心参数输入!$B$9,IF(AND(G142&lt;&gt;0,F143&lt;&gt;0,G142&lt;&gt;F143),1,0),0)</f>
        <v>0</v>
      </c>
      <c r="H144" s="1">
        <f>IF(H$4&lt;=核心参数输入!$B$9,IF(AND(H142&lt;&gt;0,G143&lt;&gt;0,H142&lt;&gt;G143),1,0),0)</f>
        <v>1</v>
      </c>
      <c r="I144" s="1">
        <f>IF(I$4&lt;=核心参数输入!$B$9,IF(AND(I142&lt;&gt;0,H143&lt;&gt;0,I142&lt;&gt;H143),1,0),0)</f>
        <v>0</v>
      </c>
      <c r="J144" s="1">
        <f>IF(J$4&lt;=核心参数输入!$B$9,IF(AND(J142&lt;&gt;0,I143&lt;&gt;0,J142&lt;&gt;I143),1,0),0)</f>
        <v>0</v>
      </c>
      <c r="K144" s="1">
        <f>IF(K$4&lt;=核心参数输入!$B$9,IF(AND(K142&lt;&gt;0,J143&lt;&gt;0,K142&lt;&gt;J143),1,0),0)</f>
        <v>0</v>
      </c>
      <c r="L144" s="1">
        <f>IF(L$4&lt;=核心参数输入!$B$9,IF(AND(L142&lt;&gt;0,K143&lt;&gt;0,L142&lt;&gt;K143),1,0),0)</f>
        <v>0</v>
      </c>
      <c r="M144" s="1">
        <f>IF(M$4&lt;=核心参数输入!$B$9,IF(AND(M142&lt;&gt;0,L143&lt;&gt;0,M142&lt;&gt;L143),1,0),0)</f>
        <v>0</v>
      </c>
      <c r="N144" s="1">
        <f>IF(N$4&lt;=核心参数输入!$B$9,IF(AND(N142&lt;&gt;0,M143&lt;&gt;0,N142&lt;&gt;M143),1,0),0)</f>
        <v>0</v>
      </c>
      <c r="O144" s="1">
        <f>IF(O$4&lt;=核心参数输入!$B$9,IF(AND(O142&lt;&gt;0,N143&lt;&gt;0,O142&lt;&gt;N143),1,0),0)</f>
        <v>0</v>
      </c>
      <c r="P144" s="1">
        <f>IF(P$4&lt;=核心参数输入!$B$9,IF(AND(P142&lt;&gt;0,O143&lt;&gt;0,P142&lt;&gt;O143),1,0),0)</f>
        <v>0</v>
      </c>
      <c r="Q144" s="1">
        <f>IF(Q$4&lt;=核心参数输入!$B$9,IF(AND(Q142&lt;&gt;0,P143&lt;&gt;0,Q142&lt;&gt;P143),1,0),0)</f>
        <v>0</v>
      </c>
      <c r="R144" s="1">
        <f>IF(R$4&lt;=核心参数输入!$B$9,IF(AND(R142&lt;&gt;0,Q143&lt;&gt;0,R142&lt;&gt;Q143),1,0),0)</f>
        <v>0</v>
      </c>
      <c r="S144" s="1">
        <f>IF(S$4&lt;=核心参数输入!$B$9,IF(AND(S142&lt;&gt;0,R143&lt;&gt;0,S142&lt;&gt;R143),1,0),0)</f>
        <v>0</v>
      </c>
      <c r="T144" s="1">
        <f>IF(T$4&lt;=核心参数输入!$B$9,IF(AND(T142&lt;&gt;0,S143&lt;&gt;0,T142&lt;&gt;S143),1,0),0)</f>
        <v>0</v>
      </c>
      <c r="U144" s="1">
        <f>IF(U$4&lt;=核心参数输入!$B$9,IF(AND(U142&lt;&gt;0,T143&lt;&gt;0,U142&lt;&gt;T143),1,0),0)</f>
        <v>0</v>
      </c>
      <c r="V144" s="1">
        <f>IF(V$4&lt;=核心参数输入!$B$9,IF(AND(V142&lt;&gt;0,U143&lt;&gt;0,V142&lt;&gt;U143),1,0),0)</f>
        <v>0</v>
      </c>
      <c r="W144" s="1">
        <f>IF(W$4&lt;=核心参数输入!$B$9,IF(AND(W142&lt;&gt;0,V143&lt;&gt;0,W142&lt;&gt;V143),1,0),0)</f>
        <v>0</v>
      </c>
      <c r="X144" s="1">
        <f>IF(X$4&lt;=核心参数输入!$B$9,IF(AND(X142&lt;&gt;0,W143&lt;&gt;0,X142&lt;&gt;W143),1,0),0)</f>
        <v>0</v>
      </c>
      <c r="Y144" s="1">
        <f>IF(Y$4&lt;=核心参数输入!$B$9,IF(AND(Y142&lt;&gt;0,X143&lt;&gt;0,Y142&lt;&gt;X143),1,0),0)</f>
        <v>0</v>
      </c>
      <c r="Z144" s="1">
        <f>IF(Z$4&lt;=核心参数输入!$B$9,IF(AND(Z142&lt;&gt;0,Y143&lt;&gt;0,Z142&lt;&gt;Y143),1,0),0)</f>
        <v>0</v>
      </c>
      <c r="AA144" s="1">
        <f>IF(AA$4&lt;=核心参数输入!$B$9,IF(AND(AA142&lt;&gt;0,Z143&lt;&gt;0,AA142&lt;&gt;Z143),1,0),0)</f>
        <v>0</v>
      </c>
      <c r="AB144" s="1">
        <f>IF(AB$4&lt;=核心参数输入!$B$9,IF(AND(AB142&lt;&gt;0,AA143&lt;&gt;0,AB142&lt;&gt;AA143),1,0),0)</f>
        <v>0</v>
      </c>
      <c r="AC144" s="1">
        <f>IF(AC$4&lt;=核心参数输入!$B$9,IF(AND(AC142&lt;&gt;0,AB143&lt;&gt;0,AC142&lt;&gt;AB143),1,0),0)</f>
        <v>0</v>
      </c>
      <c r="AD144" s="1">
        <f>IF(AD$4&lt;=核心参数输入!$B$9,IF(AND(AD142&lt;&gt;0,AC143&lt;&gt;0,AD142&lt;&gt;AC143),1,0),0)</f>
        <v>0</v>
      </c>
      <c r="AE144" s="1">
        <f>IF(AE$4&lt;=核心参数输入!$B$9,IF(AND(AE142&lt;&gt;0,AD143&lt;&gt;0,AE142&lt;&gt;AD143),1,0),0)</f>
        <v>0</v>
      </c>
      <c r="AF144" s="1">
        <f>IF(AF$4&lt;=核心参数输入!$B$9,IF(AND(AF142&lt;&gt;0,AE143&lt;&gt;0,AF142&lt;&gt;AE143),1,0),0)</f>
        <v>0</v>
      </c>
      <c r="AG144" s="1">
        <f>IF(AG$4&lt;=核心参数输入!$B$9,IF(AND(AG142&lt;&gt;0,AF143&lt;&gt;0,AG142&lt;&gt;AF143),1,0),0)</f>
        <v>0</v>
      </c>
      <c r="AH144" s="1">
        <f>IF(AH$4&lt;=核心参数输入!$B$9,IF(AND(AH142&lt;&gt;0,AG143&lt;&gt;0,AH142&lt;&gt;AG143),1,0),0)</f>
        <v>0</v>
      </c>
    </row>
    <row r="145" spans="1:34" ht="21" customHeight="1">
      <c r="A145" s="11" t="s">
        <v>311</v>
      </c>
      <c r="B145" s="11" t="s">
        <v>54</v>
      </c>
      <c r="D145" s="1">
        <f>IF(D$4&lt;=核心参数输入!$B$9,销售与出租收入!D93-运营成本与税费!D90-运营成本与税费!D91,0)</f>
        <v>0</v>
      </c>
      <c r="E145" s="1">
        <f>IF(E$4&lt;=核心参数输入!$B$9,销售与出租收入!E93-运营成本与税费!E90-运营成本与税费!E91,0)</f>
        <v>0</v>
      </c>
      <c r="F145" s="1">
        <f>IF(F$4&lt;=核心参数输入!$B$9,销售与出租收入!F93-运营成本与税费!F90-运营成本与税费!F91,0)</f>
        <v>0</v>
      </c>
      <c r="G145" s="1">
        <f>IF(G$4&lt;=核心参数输入!$B$9,销售与出租收入!G93-运营成本与税费!G90-运营成本与税费!G91,0)</f>
        <v>0</v>
      </c>
      <c r="H145" s="1">
        <f>IF(H$4&lt;=核心参数输入!$B$9,销售与出租收入!H93-运营成本与税费!H90-运营成本与税费!H91,0)</f>
        <v>11662.633125</v>
      </c>
      <c r="I145" s="1">
        <f>IF(I$4&lt;=核心参数输入!$B$9,销售与出租收入!I93-运营成本与税费!I90-运营成本与税费!I91,0)</f>
        <v>15550.177500000002</v>
      </c>
      <c r="J145" s="1">
        <f>IF(J$4&lt;=核心参数输入!$B$9,销售与出租收入!J93-运营成本与税费!J90-运营成本与税费!J91,0)</f>
        <v>11662.633125</v>
      </c>
      <c r="K145" s="1">
        <f>IF(K$4&lt;=核心参数输入!$B$9,销售与出租收入!K93-运营成本与税费!K90-运营成本与税费!K91,0)</f>
        <v>0</v>
      </c>
      <c r="L145" s="1">
        <f>IF(L$4&lt;=核心参数输入!$B$9,销售与出租收入!L93-运营成本与税费!L90-运营成本与税费!L91,0)</f>
        <v>0</v>
      </c>
      <c r="M145" s="1">
        <f>IF(M$4&lt;=核心参数输入!$B$9,销售与出租收入!M93-运营成本与税费!M90-运营成本与税费!M91,0)</f>
        <v>0</v>
      </c>
      <c r="N145" s="1">
        <f>IF(N$4&lt;=核心参数输入!$B$9,销售与出租收入!N93-运营成本与税费!N90-运营成本与税费!N91,0)</f>
        <v>0</v>
      </c>
      <c r="O145" s="1">
        <f>IF(O$4&lt;=核心参数输入!$B$9,销售与出租收入!O93-运营成本与税费!O90-运营成本与税费!O91,0)</f>
        <v>0</v>
      </c>
      <c r="P145" s="1">
        <f>IF(P$4&lt;=核心参数输入!$B$9,销售与出租收入!P93-运营成本与税费!P90-运营成本与税费!P91,0)</f>
        <v>0</v>
      </c>
      <c r="Q145" s="1">
        <f>IF(Q$4&lt;=核心参数输入!$B$9,销售与出租收入!Q93-运营成本与税费!Q90-运营成本与税费!Q91,0)</f>
        <v>0</v>
      </c>
      <c r="R145" s="1">
        <f>IF(R$4&lt;=核心参数输入!$B$9,销售与出租收入!R93-运营成本与税费!R90-运营成本与税费!R91,0)</f>
        <v>0</v>
      </c>
      <c r="S145" s="1">
        <f>IF(S$4&lt;=核心参数输入!$B$9,销售与出租收入!S93-运营成本与税费!S90-运营成本与税费!S91,0)</f>
        <v>0</v>
      </c>
      <c r="T145" s="1">
        <f>IF(T$4&lt;=核心参数输入!$B$9,销售与出租收入!T93-运营成本与税费!T90-运营成本与税费!T91,0)</f>
        <v>0</v>
      </c>
      <c r="U145" s="1">
        <f>IF(U$4&lt;=核心参数输入!$B$9,销售与出租收入!U93-运营成本与税费!U90-运营成本与税费!U91,0)</f>
        <v>0</v>
      </c>
      <c r="V145" s="1">
        <f>IF(V$4&lt;=核心参数输入!$B$9,销售与出租收入!V93-运营成本与税费!V90-运营成本与税费!V91,0)</f>
        <v>0</v>
      </c>
      <c r="W145" s="1">
        <f>IF(W$4&lt;=核心参数输入!$B$9,销售与出租收入!W93-运营成本与税费!W90-运营成本与税费!W91,0)</f>
        <v>0</v>
      </c>
      <c r="X145" s="1">
        <f>IF(X$4&lt;=核心参数输入!$B$9,销售与出租收入!X93-运营成本与税费!X90-运营成本与税费!X91,0)</f>
        <v>0</v>
      </c>
      <c r="Y145" s="1">
        <f>IF(Y$4&lt;=核心参数输入!$B$9,销售与出租收入!Y93-运营成本与税费!Y90-运营成本与税费!Y91,0)</f>
        <v>0</v>
      </c>
      <c r="Z145" s="1">
        <f>IF(Z$4&lt;=核心参数输入!$B$9,销售与出租收入!Z93-运营成本与税费!Z90-运营成本与税费!Z91,0)</f>
        <v>0</v>
      </c>
      <c r="AA145" s="1">
        <f>IF(AA$4&lt;=核心参数输入!$B$9,销售与出租收入!AA93-运营成本与税费!AA90-运营成本与税费!AA91,0)</f>
        <v>0</v>
      </c>
      <c r="AB145" s="1">
        <f>IF(AB$4&lt;=核心参数输入!$B$9,销售与出租收入!AB93-运营成本与税费!AB90-运营成本与税费!AB91,0)</f>
        <v>0</v>
      </c>
      <c r="AC145" s="1">
        <f>IF(AC$4&lt;=核心参数输入!$B$9,销售与出租收入!AC93-运营成本与税费!AC90-运营成本与税费!AC91,0)</f>
        <v>0</v>
      </c>
      <c r="AD145" s="1">
        <f>IF(AD$4&lt;=核心参数输入!$B$9,销售与出租收入!AD93-运营成本与税费!AD90-运营成本与税费!AD91,0)</f>
        <v>0</v>
      </c>
      <c r="AE145" s="1">
        <f>IF(AE$4&lt;=核心参数输入!$B$9,销售与出租收入!AE93-运营成本与税费!AE90-运营成本与税费!AE91,0)</f>
        <v>0</v>
      </c>
      <c r="AF145" s="1">
        <f>IF(AF$4&lt;=核心参数输入!$B$9,销售与出租收入!AF93-运营成本与税费!AF90-运营成本与税费!AF91,0)</f>
        <v>0</v>
      </c>
      <c r="AG145" s="1">
        <f>IF(AG$4&lt;=核心参数输入!$B$9,销售与出租收入!AG93-运营成本与税费!AG90-运营成本与税费!AG91,0)</f>
        <v>0</v>
      </c>
      <c r="AH145" s="1">
        <f>IF(AH$4&lt;=核心参数输入!$B$9,销售与出租收入!AH93-运营成本与税费!AH90-运营成本与税费!AH91,0)</f>
        <v>0</v>
      </c>
    </row>
    <row r="146" spans="1:34" ht="21" customHeight="1">
      <c r="A146" s="11" t="s">
        <v>312</v>
      </c>
      <c r="B146" s="11" t="s">
        <v>54</v>
      </c>
      <c r="D146" s="1">
        <f>IF(D$4&lt;=核心参数输入!$B$9,销售与出租收入!D102-运营成本与税费!D92-运营成本与税费!D93-运营成本与税费!D94-运营成本与税费!D95,0)</f>
        <v>0</v>
      </c>
      <c r="E146" s="1">
        <f>IF(E$4&lt;=核心参数输入!$B$9,销售与出租收入!E102-运营成本与税费!E92-运营成本与税费!E93-运营成本与税费!E94-运营成本与税费!E95,0)</f>
        <v>0</v>
      </c>
      <c r="F146" s="1">
        <f>IF(F$4&lt;=核心参数输入!$B$9,销售与出租收入!F102-运营成本与税费!F92-运营成本与税费!F93-运营成本与税费!F94-运营成本与税费!F95,0)</f>
        <v>0</v>
      </c>
      <c r="G146" s="1">
        <f>IF(G$4&lt;=核心参数输入!$B$9,销售与出租收入!G102-运营成本与税费!G92-运营成本与税费!G93-运营成本与税费!G94-运营成本与税费!G95,0)</f>
        <v>0</v>
      </c>
      <c r="H146" s="1">
        <f>IF(H$4&lt;=核心参数输入!$B$9,销售与出租收入!H102-运营成本与税费!H92-运营成本与税费!H93-运营成本与税费!H94-运营成本与税费!H95,0)</f>
        <v>-48.188834760000006</v>
      </c>
      <c r="I146" s="1">
        <f>IF(I$4&lt;=核心参数输入!$B$9,销售与出租收入!I102-运营成本与税费!I92-运营成本与税费!I93-运营成本与税费!I94-运营成本与税费!I95,0)</f>
        <v>317.52860998409977</v>
      </c>
      <c r="J146" s="1">
        <f>IF(J$4&lt;=核心参数输入!$B$9,销售与出租收入!J102-运营成本与税费!J92-运营成本与税费!J93-运营成本与税费!J94-运营成本与税费!J95,0)</f>
        <v>564.42881205977471</v>
      </c>
      <c r="K146" s="1">
        <f>IF(K$4&lt;=核心参数输入!$B$9,销售与出租收入!K102-运营成本与税费!K92-运营成本与税费!K93-运营成本与税费!K94-运营成本与税费!K95,0)</f>
        <v>686.91854363442599</v>
      </c>
      <c r="L146" s="1">
        <f>IF(L$4&lt;=核心参数输入!$B$9,销售与出租收入!L102-运营成本与税费!L92-运营成本与税费!L93-运营成本与税费!L94-运营成本与税费!L95,0)</f>
        <v>717.42670276971921</v>
      </c>
      <c r="M146" s="1">
        <f>IF(M$4&lt;=核心参数输入!$B$9,销售与出租收入!M102-运营成本与税费!M92-运营成本与税费!M93-运营成本与税费!M94-运营成本与税费!M95,0)</f>
        <v>729.26445507126516</v>
      </c>
      <c r="N146" s="1">
        <f>IF(N$4&lt;=核心参数输入!$B$9,销售与出租收入!N102-运营成本与税费!N92-运营成本与税费!N93-运营成本与税费!N94-运营成本与税费!N95,0)</f>
        <v>741.24730069253349</v>
      </c>
      <c r="O146" s="1">
        <f>IF(O$4&lt;=核心参数输入!$B$9,销售与出租收入!O102-运营成本与税费!O92-运营成本与税费!O93-运营成本与税费!O94-运营成本与税费!O95,0)</f>
        <v>753.37676657402562</v>
      </c>
      <c r="P146" s="1">
        <f>IF(P$4&lt;=核心参数输入!$B$9,销售与出租收入!P102-运营成本与税费!P92-运营成本与税费!P93-运营成本与税费!P94-运营成本与税费!P95,0)</f>
        <v>765.6543895711618</v>
      </c>
      <c r="Q146" s="1">
        <f>IF(Q$4&lt;=核心参数输入!$B$9,销售与出租收入!Q102-运营成本与税费!Q92-运营成本与税费!Q93-运营成本与税费!Q94-运营成本与税费!Q95,0)</f>
        <v>778.08171634322559</v>
      </c>
      <c r="R146" s="1">
        <f>IF(R$4&lt;=核心参数输入!$B$9,销售与出租收入!R102-运营成本与税费!R92-运营成本与税费!R93-运营成本与税费!R94-运营成本与税费!R95,0)</f>
        <v>790.66030323544032</v>
      </c>
      <c r="S146" s="1">
        <f>IF(S$4&lt;=核心参数输入!$B$9,销售与出租收入!S102-运营成本与税费!S92-运营成本与税费!S93-运营成本与税费!S94-运营成本与税费!S95,0)</f>
        <v>803.39171615397947</v>
      </c>
      <c r="T146" s="1">
        <f>IF(T$4&lt;=核心参数输入!$B$9,销售与出租收入!T102-运营成本与税费!T92-运营成本与税费!T93-运营成本与税费!T94-运营成本与税费!T95,0)</f>
        <v>816.27753043369682</v>
      </c>
      <c r="U146" s="1">
        <f>IF(U$4&lt;=核心参数输入!$B$9,销售与出租收入!U102-运营成本与税费!U92-运营成本与税费!U93-运营成本与税费!U94-运营成本与税费!U95,0)</f>
        <v>829.31933069835895</v>
      </c>
      <c r="V146" s="1">
        <f>IF(V$4&lt;=核心参数输入!$B$9,销售与出租收入!V102-运营成本与税费!V92-运营成本与税费!V93-运营成本与税费!V94-运营成本与税费!V95,0)</f>
        <v>842.51871071315315</v>
      </c>
      <c r="W146" s="1">
        <f>IF(W$4&lt;=核心参数输入!$B$9,销售与出租收入!W102-运营成本与税费!W92-运营成本与税费!W93-运营成本与税费!W94-运营成本与税费!W95,0)</f>
        <v>855.87727322925616</v>
      </c>
      <c r="X146" s="1">
        <f>IF(X$4&lt;=核心参数输入!$B$9,销售与出租收入!X102-运营成本与税费!X92-运营成本与税费!X93-运营成本与税费!X94-运营成本与税费!X95,0)</f>
        <v>869.39662982020832</v>
      </c>
      <c r="Y146" s="1">
        <f>IF(Y$4&lt;=核心参数输入!$B$9,销售与出租收入!Y102-运营成本与税费!Y92-运营成本与税费!Y93-运营成本与税费!Y94-运营成本与税费!Y95,0)</f>
        <v>0</v>
      </c>
      <c r="Z146" s="1">
        <f>IF(Z$4&lt;=核心参数输入!$B$9,销售与出租收入!Z102-运营成本与税费!Z92-运营成本与税费!Z93-运营成本与税费!Z94-运营成本与税费!Z95,0)</f>
        <v>0</v>
      </c>
      <c r="AA146" s="1">
        <f>IF(AA$4&lt;=核心参数输入!$B$9,销售与出租收入!AA102-运营成本与税费!AA92-运营成本与税费!AA93-运营成本与税费!AA94-运营成本与税费!AA95,0)</f>
        <v>0</v>
      </c>
      <c r="AB146" s="1">
        <f>IF(AB$4&lt;=核心参数输入!$B$9,销售与出租收入!AB102-运营成本与税费!AB92-运营成本与税费!AB93-运营成本与税费!AB94-运营成本与税费!AB95,0)</f>
        <v>0</v>
      </c>
      <c r="AC146" s="1">
        <f>IF(AC$4&lt;=核心参数输入!$B$9,销售与出租收入!AC102-运营成本与税费!AC92-运营成本与税费!AC93-运营成本与税费!AC94-运营成本与税费!AC95,0)</f>
        <v>0</v>
      </c>
      <c r="AD146" s="1">
        <f>IF(AD$4&lt;=核心参数输入!$B$9,销售与出租收入!AD102-运营成本与税费!AD92-运营成本与税费!AD93-运营成本与税费!AD94-运营成本与税费!AD95,0)</f>
        <v>0</v>
      </c>
      <c r="AE146" s="1">
        <f>IF(AE$4&lt;=核心参数输入!$B$9,销售与出租收入!AE102-运营成本与税费!AE92-运营成本与税费!AE93-运营成本与税费!AE94-运营成本与税费!AE95,0)</f>
        <v>0</v>
      </c>
      <c r="AF146" s="1">
        <f>IF(AF$4&lt;=核心参数输入!$B$9,销售与出租收入!AF102-运营成本与税费!AF92-运营成本与税费!AF93-运营成本与税费!AF94-运营成本与税费!AF95,0)</f>
        <v>0</v>
      </c>
      <c r="AG146" s="1">
        <f>IF(AG$4&lt;=核心参数输入!$B$9,销售与出租收入!AG102-运营成本与税费!AG92-运营成本与税费!AG93-运营成本与税费!AG94-运营成本与税费!AG95,0)</f>
        <v>0</v>
      </c>
      <c r="AH146" s="1">
        <f>IF(AH$4&lt;=核心参数输入!$B$9,销售与出租收入!AH102-运营成本与税费!AH92-运营成本与税费!AH93-运营成本与税费!AH94-运营成本与税费!AH95,0)</f>
        <v>0</v>
      </c>
    </row>
  </sheetData>
  <mergeCells count="2">
    <mergeCell ref="A7:AH7"/>
    <mergeCell ref="A87:AH87"/>
  </mergeCells>
  <phoneticPr fontId="7" type="noConversion"/>
  <pageMargins left="0.25" right="0.25" top="0.4" bottom="0.4" header="0.3" footer="0.3"/>
  <pageSetup paperSize="9" scale="17" fitToHeight="0" orientation="landscape" r:id="rId1"/>
  <headerFooter>
    <oddFooter>&amp;L模拟数据 · 学习用途&amp;C&amp;P /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AH50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21" customHeight="1"/>
  <cols>
    <col min="1" max="1" width="48.75" customWidth="1"/>
    <col min="2" max="2" width="24.75" customWidth="1"/>
    <col min="3" max="3" width="19.75" customWidth="1"/>
    <col min="4" max="5" width="24.75" customWidth="1"/>
    <col min="6" max="6" width="18.75" customWidth="1"/>
    <col min="7" max="7" width="75.75" customWidth="1"/>
    <col min="8" max="34" width="15.75" style="1" customWidth="1"/>
  </cols>
  <sheetData>
    <row r="2" spans="1:7" ht="29.1" customHeight="1">
      <c r="A2" s="2" t="s">
        <v>8</v>
      </c>
    </row>
    <row r="4" spans="1:7" ht="21" customHeight="1">
      <c r="A4" s="5" t="s">
        <v>314</v>
      </c>
      <c r="B4" s="5" t="s">
        <v>180</v>
      </c>
      <c r="C4" s="5" t="s">
        <v>12</v>
      </c>
      <c r="D4" s="5" t="s">
        <v>207</v>
      </c>
      <c r="G4" s="5" t="s">
        <v>315</v>
      </c>
    </row>
    <row r="6" spans="1:7" ht="30" customHeight="1">
      <c r="A6" t="s">
        <v>316</v>
      </c>
      <c r="B6" s="10">
        <f>IF(AND(COUNTIF(利润与现金流!$D$26:INDEX(利润与现金流!$D$26:$AH$26,核心参数输入!$B$9+1),"&lt;0")&gt;0,COUNTIF(利润与现金流!$D$26:INDEX(利润与现金流!$D$26:$AH$26,核心参数输入!$B$9+1),"&gt;0")&gt;0),IFERROR(IRR(利润与现金流!$D$26:INDEX(利润与现金流!$D$26:$AH$26,核心参数输入!$B$9+1)),"无法计算"),"无法计算")</f>
        <v>-1.1985485110139971E-2</v>
      </c>
      <c r="C6" t="s">
        <v>30</v>
      </c>
      <c r="D6" s="10">
        <f>IF(AND(COUNTIF(利润与现金流!$D$106:INDEX(利润与现金流!$D$106:$AH$106,核心参数输入!$B$9+1),"&lt;0")&gt;0,COUNTIF(利润与现金流!$D$106:INDEX(利润与现金流!$D$106:$AH$106,核心参数输入!$B$9+1),"&gt;0")&gt;0),IFERROR(IRR(利润与现金流!$D$106:INDEX(利润与现金流!$D$106:$AH$106,核心参数输入!$B$9+1)),"无法计算"),"无法计算")</f>
        <v>-4.5961144616110006E-2</v>
      </c>
      <c r="G6" s="4" t="s">
        <v>317</v>
      </c>
    </row>
    <row r="7" spans="1:7" ht="30" customHeight="1">
      <c r="A7" t="s">
        <v>318</v>
      </c>
      <c r="B7" s="10">
        <f>IF(AND(COUNTIF(利润与现金流!$D$38:INDEX(利润与现金流!$D$38:$AH$38,核心参数输入!$B$9+1),"&lt;0")&gt;0,COUNTIF(利润与现金流!$D$38:INDEX(利润与现金流!$D$38:$AH$38,核心参数输入!$B$9+1),"&gt;0")&gt;0),IFERROR(IRR(利润与现金流!$D$38:INDEX(利润与现金流!$D$38:$AH$38,核心参数输入!$B$9+1)),"无法计算"),"无法计算")</f>
        <v>-3.5751039842847443E-2</v>
      </c>
      <c r="C7" t="s">
        <v>30</v>
      </c>
      <c r="D7" s="10">
        <f>IF(AND(COUNTIF(利润与现金流!$D$118:INDEX(利润与现金流!$D$118:$AH$118,核心参数输入!$B$9+1),"&lt;0")&gt;0,COUNTIF(利润与现金流!$D$118:INDEX(利润与现金流!$D$118:$AH$118,核心参数输入!$B$9+1),"&gt;0")&gt;0),IFERROR(IRR(利润与现金流!$D$118:INDEX(利润与现金流!$D$118:$AH$118,核心参数输入!$B$9+1)),"无法计算"),"无法计算")</f>
        <v>-7.9012247686424009E-2</v>
      </c>
      <c r="G7" s="4" t="s">
        <v>319</v>
      </c>
    </row>
    <row r="8" spans="1:7" ht="30" customHeight="1">
      <c r="A8" t="s">
        <v>320</v>
      </c>
      <c r="B8" s="1">
        <f>NPV(核心参数输入!$B$71,利润与现金流!$E$26:INDEX(利润与现金流!$D$26:$AH$26,核心参数输入!$B$9+1))+利润与现金流!D26</f>
        <v>-19528.190372715155</v>
      </c>
      <c r="C8" t="s">
        <v>54</v>
      </c>
      <c r="D8" s="1">
        <f>NPV(核心参数输入!$B$71,利润与现金流!$E$106:INDEX(利润与现金流!$D$106:$AH$106,核心参数输入!$B$9+1))+利润与现金流!D106</f>
        <v>-27383.782286691818</v>
      </c>
      <c r="G8" s="4" t="s">
        <v>321</v>
      </c>
    </row>
    <row r="9" spans="1:7" ht="30" customHeight="1">
      <c r="A9" t="s">
        <v>322</v>
      </c>
      <c r="B9" s="1">
        <f>NPV(核心参数输入!$B$72,利润与现金流!$E$38:INDEX(利润与现金流!$D$38:$AH$38,核心参数输入!$B$9+1))+利润与现金流!D38</f>
        <v>-17639.682755211808</v>
      </c>
      <c r="C9" t="s">
        <v>54</v>
      </c>
      <c r="D9" s="1">
        <f>NPV(核心参数输入!$B$72,利润与现金流!$E$118:INDEX(利润与现金流!$D$118:$AH$118,核心参数输入!$B$9+1))+利润与现金流!D118</f>
        <v>-25789.873132528617</v>
      </c>
      <c r="G9" s="4" t="s">
        <v>323</v>
      </c>
    </row>
    <row r="10" spans="1:7" ht="30" customHeight="1">
      <c r="A10" t="s">
        <v>324</v>
      </c>
      <c r="B10" s="1" t="str">
        <f>IF(COUNTIF(利润与现金流!$D$26:INDEX(利润与现金流!$D$26:$AH$26,核心参数输入!$B$9+1),"&lt;0")=0,"不适用",IF(COUNTIF(利润与现金流!$D$54:INDEX(利润与现金流!$D$54:$AH$54,核心参数输入!$B$9+1),1)=0,"测算期内未回收",MATCH(1,利润与现金流!$D$54:INDEX(利润与现金流!$D$54:$AH$54,核心参数输入!$B$9+1),0)-2-INDEX(利润与现金流!$D$49:$AH$49,MAX(1,MATCH(1,利润与现金流!$D$54:INDEX(利润与现金流!$D$54:$AH$54,核心参数输入!$B$9+1),0)-1))/INDEX(利润与现金流!$D$26:$AH$26,MATCH(1,利润与现金流!$D$54:INDEX(利润与现金流!$D$54:$AH$54,核心参数输入!$B$9+1),0))))</f>
        <v>测算期内未回收</v>
      </c>
      <c r="C10" t="s">
        <v>19</v>
      </c>
      <c r="D10" s="1" t="str">
        <f>IF(COUNTIF(利润与现金流!$D$106:INDEX(利润与现金流!$D$106:$AH$106,核心参数输入!$B$9+1),"&lt;0")=0,"不适用",IF(COUNTIF(利润与现金流!$D$134:INDEX(利润与现金流!$D$134:$AH$134,核心参数输入!$B$9+1),1)=0,"测算期内未回收",MATCH(1,利润与现金流!$D$134:INDEX(利润与现金流!$D$134:$AH$134,核心参数输入!$B$9+1),0)-2-INDEX(利润与现金流!$D$129:$AH$129,MAX(1,MATCH(1,利润与现金流!$D$134:INDEX(利润与现金流!$D$134:$AH$134,核心参数输入!$B$9+1),0)-1))/INDEX(利润与现金流!$D$106:$AH$106,MATCH(1,利润与现金流!$D$134:INDEX(利润与现金流!$D$134:$AH$134,核心参数输入!$B$9+1),0))))</f>
        <v>测算期内未回收</v>
      </c>
      <c r="G10" s="4" t="s">
        <v>325</v>
      </c>
    </row>
    <row r="11" spans="1:7" ht="30" customHeight="1">
      <c r="A11" t="s">
        <v>326</v>
      </c>
      <c r="B11" s="1" t="str">
        <f>IF(COUNTIF(利润与现金流!$D$50:INDEX(利润与现金流!$D$50:$AH$50,核心参数输入!$B$9+1),"&lt;0")=0,"不适用",IF(COUNTIF(利润与现金流!$D$55:INDEX(利润与现金流!$D$55:$AH$55,核心参数输入!$B$9+1),1)=0,"测算期内未回收",MATCH(1,利润与现金流!$D$55:INDEX(利润与现金流!$D$55:$AH$55,核心参数输入!$B$9+1),0)-2-INDEX(利润与现金流!$D$51:$AH$51,MAX(1,MATCH(1,利润与现金流!$D$55:INDEX(利润与现金流!$D$55:$AH$55,核心参数输入!$B$9+1),0)-1))/INDEX(利润与现金流!$D$50:$AH$50,MATCH(1,利润与现金流!$D$55:INDEX(利润与现金流!$D$55:$AH$55,核心参数输入!$B$9+1),0))))</f>
        <v>测算期内未回收</v>
      </c>
      <c r="C11" t="s">
        <v>19</v>
      </c>
      <c r="D11" s="1" t="str">
        <f>IF(COUNTIF(利润与现金流!$D$130:INDEX(利润与现金流!$D$130:$AH$130,核心参数输入!$B$9+1),"&lt;0")=0,"不适用",IF(COUNTIF(利润与现金流!$D$135:INDEX(利润与现金流!$D$135:$AH$135,核心参数输入!$B$9+1),1)=0,"测算期内未回收",MATCH(1,利润与现金流!$D$135:INDEX(利润与现金流!$D$135:$AH$135,核心参数输入!$B$9+1),0)-2-INDEX(利润与现金流!$D$131:$AH$131,MAX(1,MATCH(1,利润与现金流!$D$135:INDEX(利润与现金流!$D$135:$AH$135,核心参数输入!$B$9+1),0)-1))/INDEX(利润与现金流!$D$130:$AH$130,MATCH(1,利润与现金流!$D$135:INDEX(利润与现金流!$D$135:$AH$135,核心参数输入!$B$9+1),0))))</f>
        <v>测算期内未回收</v>
      </c>
      <c r="G11" s="4" t="s">
        <v>327</v>
      </c>
    </row>
    <row r="12" spans="1:7" ht="30" customHeight="1">
      <c r="A12" t="s">
        <v>328</v>
      </c>
      <c r="B12" s="1">
        <f>IF(核心参数输入!$B$57=0,"不适用",IF(COUNT(利润与现金流!$D$52:INDEX(利润与现金流!$D$52:$AH$52,核心参数输入!$B$9+1))=0,"无法计算",MIN(利润与现金流!$D$53:INDEX(利润与现金流!$D$53:$AH$53,核心参数输入!$B$9+1))))</f>
        <v>0.20055108484127229</v>
      </c>
      <c r="C12" t="s">
        <v>27</v>
      </c>
      <c r="D12" s="1">
        <f>IF(核心参数输入!$B$57=0,"不适用",IF(COUNT(利润与现金流!$D$132:INDEX(利润与现金流!$D$132:$AH$132,核心参数输入!$B$9+1))=0,"无法计算",MIN(利润与现金流!$D$133:INDEX(利润与现金流!$D$133:$AH$133,核心参数输入!$B$9+1))))</f>
        <v>0.13973931431098466</v>
      </c>
      <c r="G12" s="4" t="s">
        <v>329</v>
      </c>
    </row>
    <row r="13" spans="1:7" ht="30" customHeight="1">
      <c r="A13" t="s">
        <v>330</v>
      </c>
      <c r="B13" s="1">
        <f>SUM(利润与现金流!$D$34:INDEX(利润与现金流!$D$34:$AH$34,核心参数输入!$B$9+1))</f>
        <v>32810</v>
      </c>
      <c r="C13" t="s">
        <v>54</v>
      </c>
      <c r="D13" s="1">
        <f>SUM(利润与现金流!$D$114:INDEX(利润与现金流!$D$114:$AH$114,核心参数输入!$B$9+1))</f>
        <v>38102</v>
      </c>
      <c r="G13" s="4" t="s">
        <v>331</v>
      </c>
    </row>
    <row r="14" spans="1:7" ht="30" customHeight="1">
      <c r="A14" t="s">
        <v>332</v>
      </c>
      <c r="B14" s="1">
        <f>MAX(利润与现金流!$D$45:INDEX(利润与现金流!$D$45:$AH$45,核心参数输入!$B$9+1))</f>
        <v>0</v>
      </c>
      <c r="C14" t="s">
        <v>54</v>
      </c>
      <c r="D14" s="1">
        <f>MAX(利润与现金流!$D$125:INDEX(利润与现金流!$D$125:$AH$125,核心参数输入!$B$9+1))</f>
        <v>5102</v>
      </c>
      <c r="G14" s="4" t="s">
        <v>333</v>
      </c>
    </row>
    <row r="15" spans="1:7" ht="30" customHeight="1">
      <c r="A15" t="s">
        <v>334</v>
      </c>
      <c r="B15" s="1">
        <f>IF(核心参数输入!$B$57=0,0,IF(OR(融资与还本付息!$B$7&gt;30,融资与还本付息!$B$7&gt;核心参数输入!$B$9),"无法计算",INDEX(融资与还本付息!$D$15:$AH$15,融资与还本付息!$B$7+1)))</f>
        <v>0</v>
      </c>
      <c r="C15" t="s">
        <v>54</v>
      </c>
      <c r="D15" s="1">
        <f>IF(核心参数输入!$B$57=0,0,IF(OR(融资与还本付息!$B$87&gt;30,融资与还本付息!$B$87&gt;核心参数输入!$B$9),"无法计算",INDEX(融资与还本付息!$D$95:$AH$95,融资与还本付息!$B$87+1)))</f>
        <v>0</v>
      </c>
      <c r="G15" s="4" t="s">
        <v>335</v>
      </c>
    </row>
    <row r="16" spans="1:7" ht="30" customHeight="1">
      <c r="A16" t="s">
        <v>336</v>
      </c>
      <c r="B16" s="1">
        <f>投资与资金安排!$B$18</f>
        <v>63310</v>
      </c>
      <c r="C16" t="s">
        <v>54</v>
      </c>
      <c r="D16" s="1">
        <f>投资与资金安排!$B$98</f>
        <v>68602</v>
      </c>
      <c r="G16" s="4" t="s">
        <v>337</v>
      </c>
    </row>
    <row r="17" spans="1:7" ht="30" customHeight="1">
      <c r="A17" t="s">
        <v>111</v>
      </c>
      <c r="B17" s="1">
        <f>核心参数输入!$B$57</f>
        <v>30000</v>
      </c>
      <c r="C17" t="s">
        <v>54</v>
      </c>
      <c r="D17" s="1">
        <f>核心参数输入!$B$57</f>
        <v>30000</v>
      </c>
      <c r="G17" s="4" t="s">
        <v>338</v>
      </c>
    </row>
    <row r="18" spans="1:7" ht="30" customHeight="1">
      <c r="A18" t="s">
        <v>339</v>
      </c>
      <c r="B18" s="1">
        <f>核心参数输入!$B$61</f>
        <v>33000</v>
      </c>
      <c r="C18" t="s">
        <v>54</v>
      </c>
      <c r="D18" s="1">
        <f>核心参数输入!$B$61</f>
        <v>33000</v>
      </c>
      <c r="G18" s="4" t="s">
        <v>340</v>
      </c>
    </row>
    <row r="19" spans="1:7" ht="30" customHeight="1">
      <c r="A19" t="s">
        <v>341</v>
      </c>
      <c r="B19" s="10">
        <f>SUM(建筑面积与开发计划!$D$21:INDEX(建筑面积与开发计划!$D$21:$AH$21,核心参数输入!$B$9+1))</f>
        <v>1</v>
      </c>
      <c r="C19" t="s">
        <v>30</v>
      </c>
      <c r="D19" s="10">
        <f>SUM(建筑面积与开发计划!$D$101:INDEX(建筑面积与开发计划!$D$101:$AH$101,核心参数输入!$B$9+1))</f>
        <v>1</v>
      </c>
      <c r="G19" s="4" t="s">
        <v>342</v>
      </c>
    </row>
    <row r="20" spans="1:7" ht="30" customHeight="1">
      <c r="A20" t="s">
        <v>343</v>
      </c>
      <c r="B20" s="1">
        <f>IF(B19&lt;0.999999,"测算期内未完成",IFERROR(MATCH(1,建筑面积与开发计划!$D$29:$AH$29,0)-1,"测算期内未完成"))</f>
        <v>6</v>
      </c>
      <c r="C20" t="s">
        <v>344</v>
      </c>
      <c r="D20" s="1">
        <f>IF(D19&lt;0.999999,"测算期内未完成",IFERROR(MATCH(1,建筑面积与开发计划!$D$109:$AH$109,0)-1,"测算期内未完成"))</f>
        <v>6</v>
      </c>
      <c r="G20" s="4" t="s">
        <v>345</v>
      </c>
    </row>
    <row r="21" spans="1:7" ht="30" customHeight="1">
      <c r="A21" t="s">
        <v>346</v>
      </c>
      <c r="B21" s="10">
        <f>IF(ISNUMBER(B28),INDEX(建筑面积与开发计划!$D$26:$AH$26,B28+1),"不适用")</f>
        <v>0.9</v>
      </c>
      <c r="C21" t="s">
        <v>30</v>
      </c>
      <c r="D21" s="10">
        <f>IF(ISNUMBER(D28),INDEX(建筑面积与开发计划!$D$106:$AH$106,D28+1),"不适用")</f>
        <v>0.8</v>
      </c>
      <c r="G21" s="4" t="s">
        <v>347</v>
      </c>
    </row>
    <row r="22" spans="1:7" ht="30" customHeight="1">
      <c r="A22" t="s">
        <v>348</v>
      </c>
      <c r="B22" s="10">
        <f>IF(ISNUMBER(B28),IF(建筑面积与开发计划!$B$10*INDEX(销售与出租收入!$D$18:$AH$18,B28+1)*12/10000*核心参数输入!$B$43*(1+核心参数输入!$B$44)*(1-核心参数输入!$B$49-核心参数输入!$B$51)&lt;=0,"无法计算",(INDEX(运营成本与税费!$D$12:$AH$12,B28+1)+核心参数输入!$B$50)/(建筑面积与开发计划!$B$10*INDEX(销售与出租收入!$D$18:$AH$18,B28+1)*12/10000*核心参数输入!$B$43*(1+核心参数输入!$B$44)*(1-核心参数输入!$B$49-核心参数输入!$B$51))),"不适用")</f>
        <v>0.29800053134823801</v>
      </c>
      <c r="C22" t="s">
        <v>30</v>
      </c>
      <c r="D22" s="10">
        <f>IF(ISNUMBER(D28),IF(建筑面积与开发计划!$B$10*INDEX(销售与出租收入!$D$98:$AH$98,D28+1)*12/10000*核心参数输入!$B$43*(1+核心参数输入!$B$44)*(1-核心参数输入!$B$49-核心参数输入!$B$51)&lt;=0,"无法计算",(INDEX(运营成本与税费!$D$92:$AH$92,D28+1)+核心参数输入!$B$50)/(建筑面积与开发计划!$B$10*INDEX(销售与出租收入!$D$98:$AH$98,D28+1)*12/10000*核心参数输入!$B$43*(1+核心参数输入!$B$44)*(1-核心参数输入!$B$49-核心参数输入!$B$51))),"不适用")</f>
        <v>0.33111170149804231</v>
      </c>
      <c r="G22" s="4" t="str">
        <f>IF(OR(AND(ISNUMBER(B22),B22&gt;1),AND(ISNUMBER(D22),D22&gt;1)),"保本出租率超过100%：满租也无法覆盖经营现金支出","保本率假设稳定全年租赁、无新增免租；不含折旧、本息及所得税")</f>
        <v>保本率假设稳定全年租赁、无新增免租；不含折旧、本息及所得税</v>
      </c>
    </row>
    <row r="23" spans="1:7" ht="30" customHeight="1">
      <c r="A23" t="s">
        <v>349</v>
      </c>
      <c r="B23" s="10">
        <f>IF(ISNUMBER(B28),IF(投资与资金安排!$B$24&gt;0,(INDEX(销售与出租收入!$D$22:$AH$22,B28+1)-INDEX(运营成本与税费!$D$12:$AH$12,B28+1)-INDEX(运营成本与税费!$D$13:$AH$13,B28+1)-INDEX(运营成本与税费!$D$14:$AH$14,B28+1)-INDEX(运营成本与税费!$D$15:$AH$15,B28+1))/投资与资金安排!$B$24,"无法计算"),"不适用")</f>
        <v>3.4273212910696862E-2</v>
      </c>
      <c r="C23" t="s">
        <v>30</v>
      </c>
      <c r="D23" s="10">
        <f>IF(ISNUMBER(D28),IF(投资与资金安排!$B$104&gt;0,(INDEX(销售与出租收入!$D$102:$AH$102,D28+1)-INDEX(运营成本与税费!$D$92:$AH$92,D28+1)-INDEX(运营成本与税费!$D$93:$AH$93,D28+1)-INDEX(运营成本与税费!$D$94:$AH$94,D28+1)-INDEX(运营成本与税费!$D$95:$AH$95,D28+1))/投资与资金安排!$B$104,"无法计算"),"不适用")</f>
        <v>2.2054862554442993E-2</v>
      </c>
      <c r="G23" s="4" t="s">
        <v>350</v>
      </c>
    </row>
    <row r="24" spans="1:7" ht="30" customHeight="1">
      <c r="A24" t="s">
        <v>351</v>
      </c>
      <c r="B24" s="10">
        <f>IF(SUM(销售与出租收入!$D$23:$AH$23)+SUM(销售与出租收入!$D$26:$AH$26)+SUM(投资与资金安排!$D$32:$AH$32)=0,"不适用",SUM(销售与出租收入!$D$26:$AH$26)/(SUM(销售与出租收入!$D$23:$AH$23)+SUM(销售与出租收入!$D$26:$AH$26)+SUM(投资与资金安排!$D$32:$AH$32)))</f>
        <v>0</v>
      </c>
      <c r="C24" t="s">
        <v>30</v>
      </c>
      <c r="D24" s="10">
        <f>IF(SUM(销售与出租收入!$D$103:$AH$103)+SUM(销售与出租收入!$D$106:$AH$106)+SUM(投资与资金安排!$D$112:$AH$112)=0,"不适用",SUM(销售与出租收入!$D$106:$AH$106)/(SUM(销售与出租收入!$D$103:$AH$103)+SUM(销售与出租收入!$D$106:$AH$106)+SUM(投资与资金安排!$D$112:$AH$112)))</f>
        <v>0</v>
      </c>
      <c r="G24" s="4" t="s">
        <v>352</v>
      </c>
    </row>
    <row r="25" spans="1:7" ht="30" customHeight="1">
      <c r="A25" t="s">
        <v>353</v>
      </c>
      <c r="B25" s="4" t="str">
        <f>IF(SUM(利润与现金流!$D$58:INDEX(利润与现金流!$D$58:$AH$58,核心参数输入!$B$9+1))&gt;1,"多次变号：IRR可能有歧义","单次变号或无变号")</f>
        <v>单次变号或无变号</v>
      </c>
      <c r="C25" t="s">
        <v>16</v>
      </c>
      <c r="D25" s="4" t="str">
        <f>IF(SUM(利润与现金流!$D$138:INDEX(利润与现金流!$D$138:$AH$138,核心参数输入!$B$9+1))&gt;1,"多次变号：IRR可能有歧义","单次变号或无变号")</f>
        <v>单次变号或无变号</v>
      </c>
      <c r="G25" s="4" t="s">
        <v>354</v>
      </c>
    </row>
    <row r="26" spans="1:7" ht="30" customHeight="1">
      <c r="A26" t="s">
        <v>355</v>
      </c>
      <c r="B26" s="4" t="str">
        <f>IF(SUM(利润与现金流!$D$64:INDEX(利润与现金流!$D$64:$AH$64,核心参数输入!$B$9+1))&gt;1,"多次变号：IRR可能有歧义","单次变号或无变号")</f>
        <v>单次变号或无变号</v>
      </c>
      <c r="C26" t="s">
        <v>16</v>
      </c>
      <c r="D26" s="4" t="str">
        <f>IF(SUM(利润与现金流!$D$144:INDEX(利润与现金流!$D$144:$AH$144,核心参数输入!$B$9+1))&gt;1,"多次变号：IRR可能有歧义","单次变号或无变号")</f>
        <v>单次变号或无变号</v>
      </c>
      <c r="G26" s="4" t="s">
        <v>356</v>
      </c>
    </row>
    <row r="27" spans="1:7" ht="30" customHeight="1">
      <c r="A27" t="s">
        <v>357</v>
      </c>
      <c r="B27" s="4" t="str">
        <f>IF(B14&gt;0.01,"理论结果，资金尚未落实","按完整出资计划测算")</f>
        <v>按完整出资计划测算</v>
      </c>
      <c r="C27" t="s">
        <v>16</v>
      </c>
      <c r="D27" s="4" t="str">
        <f>IF(D14&gt;0.01,"理论结果，资金尚未落实","按完整出资计划测算")</f>
        <v>理论结果，资金尚未落实</v>
      </c>
      <c r="G27" s="4" t="s">
        <v>358</v>
      </c>
    </row>
    <row r="28" spans="1:7" ht="30" customHeight="1">
      <c r="A28" t="s">
        <v>359</v>
      </c>
      <c r="B28" s="1">
        <f>IF(核心参数输入!$B$9&gt;=核心参数输入!$B$18+3,核心参数输入!$B$18+3,"不适用")</f>
        <v>7</v>
      </c>
      <c r="C28" t="s">
        <v>344</v>
      </c>
      <c r="D28" s="1">
        <f>IF(核心参数输入!$B$9&gt;=核心参数输入!$B$18+3,核心参数输入!$B$18+3,"不适用")</f>
        <v>7</v>
      </c>
      <c r="G28" s="4" t="s">
        <v>360</v>
      </c>
    </row>
    <row r="31" spans="1:7" ht="21" customHeight="1">
      <c r="A31" s="15" t="s">
        <v>361</v>
      </c>
      <c r="B31" s="15"/>
      <c r="C31" s="15"/>
      <c r="D31" s="15"/>
      <c r="E31" s="15"/>
      <c r="F31" s="15"/>
      <c r="G31" s="15"/>
    </row>
    <row r="33" spans="1:7" ht="21" customHeight="1">
      <c r="A33" s="5" t="s">
        <v>362</v>
      </c>
      <c r="B33" s="5" t="s">
        <v>363</v>
      </c>
      <c r="C33" s="5" t="s">
        <v>364</v>
      </c>
      <c r="D33" s="5" t="s">
        <v>365</v>
      </c>
      <c r="E33" s="5" t="s">
        <v>366</v>
      </c>
      <c r="F33" s="5" t="s">
        <v>367</v>
      </c>
    </row>
    <row r="34" spans="1:7" ht="21" customHeight="1">
      <c r="A34" t="s">
        <v>316</v>
      </c>
      <c r="B34" s="10">
        <f t="shared" ref="B34:B43" si="0">B6</f>
        <v>-1.1985485110139971E-2</v>
      </c>
      <c r="C34" s="10">
        <f>核心参数输入!$B$69</f>
        <v>0.08</v>
      </c>
      <c r="D34" s="11" t="str">
        <f>IF(B34="不适用","未通过",IF(NOT(ISNUMBER(B34)),IF(B34="无法计算","待判断","未通过"),IF(B34&gt;=C34-0.00000001,"通过","未通过")))</f>
        <v>未通过</v>
      </c>
      <c r="E34" s="10">
        <f t="shared" ref="E34:E43" si="1">D6</f>
        <v>-4.5961144616110006E-2</v>
      </c>
      <c r="F34" s="11" t="str">
        <f>IF(E34="不适用","未通过",IF(NOT(ISNUMBER(E34)),IF(E34="无法计算","待判断","未通过"),IF(E34&gt;=C34-0.00000001,"通过","未通过")))</f>
        <v>未通过</v>
      </c>
    </row>
    <row r="35" spans="1:7" ht="21" customHeight="1">
      <c r="A35" t="s">
        <v>318</v>
      </c>
      <c r="B35" s="10">
        <f t="shared" si="0"/>
        <v>-3.5751039842847443E-2</v>
      </c>
      <c r="C35" s="10">
        <f>核心参数输入!$B$70</f>
        <v>0.1</v>
      </c>
      <c r="D35" s="11" t="str">
        <f>IF(B35="不适用","未通过",IF(NOT(ISNUMBER(B35)),IF(B35="无法计算","待判断","未通过"),IF(B35&gt;=C35-0.00000001,"通过","未通过")))</f>
        <v>未通过</v>
      </c>
      <c r="E35" s="10">
        <f t="shared" si="1"/>
        <v>-7.9012247686424009E-2</v>
      </c>
      <c r="F35" s="11" t="str">
        <f>IF(E35="不适用","未通过",IF(NOT(ISNUMBER(E35)),IF(E35="无法计算","待判断","未通过"),IF(E35&gt;=C35-0.00000001,"通过","未通过")))</f>
        <v>未通过</v>
      </c>
    </row>
    <row r="36" spans="1:7" ht="21" customHeight="1">
      <c r="A36" t="s">
        <v>320</v>
      </c>
      <c r="B36" s="1">
        <f t="shared" si="0"/>
        <v>-19528.190372715155</v>
      </c>
      <c r="C36" s="1">
        <f>0</f>
        <v>0</v>
      </c>
      <c r="D36" s="11" t="str">
        <f>IF(B36="不适用","未通过",IF(NOT(ISNUMBER(B36)),IF(B36="无法计算","待判断","未通过"),IF(B36&gt;=-0.01,"通过","未通过")))</f>
        <v>未通过</v>
      </c>
      <c r="E36" s="1">
        <f t="shared" si="1"/>
        <v>-27383.782286691818</v>
      </c>
      <c r="F36" s="11" t="str">
        <f>IF(E36="不适用","未通过",IF(NOT(ISNUMBER(E36)),IF(E36="无法计算","待判断","未通过"),IF(E36&gt;=-0.01,"通过","未通过")))</f>
        <v>未通过</v>
      </c>
    </row>
    <row r="37" spans="1:7" ht="21" customHeight="1">
      <c r="A37" t="s">
        <v>322</v>
      </c>
      <c r="B37" s="1">
        <f t="shared" si="0"/>
        <v>-17639.682755211808</v>
      </c>
      <c r="C37" s="1">
        <f>0</f>
        <v>0</v>
      </c>
      <c r="D37" s="11" t="str">
        <f>IF(B37="不适用","未通过",IF(NOT(ISNUMBER(B37)),IF(B37="无法计算","待判断","未通过"),IF(B37&gt;=-0.01,"通过","未通过")))</f>
        <v>未通过</v>
      </c>
      <c r="E37" s="1">
        <f t="shared" si="1"/>
        <v>-25789.873132528617</v>
      </c>
      <c r="F37" s="11" t="str">
        <f>IF(E37="不适用","未通过",IF(NOT(ISNUMBER(E37)),IF(E37="无法计算","待判断","未通过"),IF(E37&gt;=-0.01,"通过","未通过")))</f>
        <v>未通过</v>
      </c>
    </row>
    <row r="38" spans="1:7" ht="21" customHeight="1">
      <c r="A38" t="s">
        <v>368</v>
      </c>
      <c r="B38" s="1" t="str">
        <f t="shared" si="0"/>
        <v>测算期内未回收</v>
      </c>
      <c r="C38" s="1">
        <f>核心参数输入!$B$73</f>
        <v>15</v>
      </c>
      <c r="D38" s="11" t="str">
        <f>IF(B38="不适用","未通过",IF(NOT(ISNUMBER(B38)),IF(B38="无法计算","待判断","未通过"),IF(B38&lt;=C38+0.00000001,"通过","未通过")))</f>
        <v>未通过</v>
      </c>
      <c r="E38" s="1" t="str">
        <f t="shared" si="1"/>
        <v>测算期内未回收</v>
      </c>
      <c r="F38" s="11" t="str">
        <f>IF(E38="不适用","未通过",IF(NOT(ISNUMBER(E38)),IF(E38="无法计算","待判断","未通过"),IF(E38&lt;=C38+0.00000001,"通过","未通过")))</f>
        <v>未通过</v>
      </c>
    </row>
    <row r="39" spans="1:7" ht="21" customHeight="1">
      <c r="A39" t="s">
        <v>369</v>
      </c>
      <c r="B39" s="1" t="str">
        <f t="shared" si="0"/>
        <v>测算期内未回收</v>
      </c>
      <c r="C39" s="1">
        <f>核心参数输入!$B$74</f>
        <v>20</v>
      </c>
      <c r="D39" s="11" t="str">
        <f>IF(B39="不适用","未通过",IF(NOT(ISNUMBER(B39)),IF(B39="无法计算","待判断","未通过"),IF(B39&lt;=C39+0.00000001,"通过","未通过")))</f>
        <v>未通过</v>
      </c>
      <c r="E39" s="1" t="str">
        <f t="shared" si="1"/>
        <v>测算期内未回收</v>
      </c>
      <c r="F39" s="11" t="str">
        <f>IF(E39="不适用","未通过",IF(NOT(ISNUMBER(E39)),IF(E39="无法计算","待判断","未通过"),IF(E39&lt;=C39+0.00000001,"通过","未通过")))</f>
        <v>未通过</v>
      </c>
    </row>
    <row r="40" spans="1:7" ht="21" customHeight="1">
      <c r="A40" t="s">
        <v>142</v>
      </c>
      <c r="B40" s="1">
        <f t="shared" si="0"/>
        <v>0.20055108484127229</v>
      </c>
      <c r="C40" s="1">
        <f>核心参数输入!$B$75</f>
        <v>1.2</v>
      </c>
      <c r="D40" s="11" t="str">
        <f>IF(B40="不适用","不适用",IF(NOT(ISNUMBER(B40)),IF(B40="无法计算","待判断","未通过"),IF(B40&gt;=C40-0.00000001,"通过","未通过")))</f>
        <v>未通过</v>
      </c>
      <c r="E40" s="1">
        <f t="shared" si="1"/>
        <v>0.13973931431098466</v>
      </c>
      <c r="F40" s="11" t="str">
        <f>IF(E40="不适用","不适用",IF(NOT(ISNUMBER(E40)),IF(E40="无法计算","待判断","未通过"),IF(E40&gt;=C40-0.00000001,"通过","未通过")))</f>
        <v>未通过</v>
      </c>
    </row>
    <row r="41" spans="1:7" ht="21" customHeight="1">
      <c r="A41" t="s">
        <v>330</v>
      </c>
      <c r="B41" s="1">
        <f t="shared" si="0"/>
        <v>32810</v>
      </c>
      <c r="C41" s="1">
        <f>核心参数输入!$B$61</f>
        <v>33000</v>
      </c>
      <c r="D41" s="11" t="str">
        <f>IF(B41="不适用","未通过",IF(NOT(ISNUMBER(B41)),IF(B41="无法计算","待判断","未通过"),IF(B41&lt;=C41+0.01,"通过","未通过")))</f>
        <v>通过</v>
      </c>
      <c r="E41" s="1">
        <f t="shared" si="1"/>
        <v>38102</v>
      </c>
      <c r="F41" s="11" t="str">
        <f>IF(E41="不适用","未通过",IF(NOT(ISNUMBER(E41)),IF(E41="无法计算","待判断","未通过"),IF(E41&lt;=C41+0.01,"通过","未通过")))</f>
        <v>未通过</v>
      </c>
    </row>
    <row r="42" spans="1:7" ht="21" customHeight="1">
      <c r="A42" t="s">
        <v>332</v>
      </c>
      <c r="B42" s="1">
        <f t="shared" si="0"/>
        <v>0</v>
      </c>
      <c r="C42" s="1">
        <f>0</f>
        <v>0</v>
      </c>
      <c r="D42" s="11" t="str">
        <f>IF(B42="不适用","未通过",IF(NOT(ISNUMBER(B42)),IF(B42="无法计算","待判断","未通过"),IF(ABS(B42)&lt;=0.01,"通过","未通过")))</f>
        <v>通过</v>
      </c>
      <c r="E42" s="1">
        <f t="shared" si="1"/>
        <v>5102</v>
      </c>
      <c r="F42" s="11" t="str">
        <f>IF(E42="不适用","未通过",IF(NOT(ISNUMBER(E42)),IF(E42="无法计算","待判断","未通过"),IF(ABS(E42)&lt;=0.01,"通过","未通过")))</f>
        <v>未通过</v>
      </c>
    </row>
    <row r="43" spans="1:7" ht="21" customHeight="1">
      <c r="A43" t="s">
        <v>334</v>
      </c>
      <c r="B43" s="1">
        <f t="shared" si="0"/>
        <v>0</v>
      </c>
      <c r="C43" s="1">
        <f>0</f>
        <v>0</v>
      </c>
      <c r="D43" s="11" t="str">
        <f>IF(B43="不适用","未通过",IF(NOT(ISNUMBER(B43)),IF(B43="无法计算","待判断","未通过"),IF(ABS(B43)&lt;=0.01,"通过","未通过")))</f>
        <v>通过</v>
      </c>
      <c r="E43" s="1">
        <f t="shared" si="1"/>
        <v>0</v>
      </c>
      <c r="F43" s="11" t="str">
        <f>IF(E43="不适用","未通过",IF(NOT(ISNUMBER(E43)),IF(E43="无法计算","待判断","未通过"),IF(ABS(E43)&lt;=0.01,"通过","未通过")))</f>
        <v>通过</v>
      </c>
    </row>
    <row r="46" spans="1:7" ht="21" customHeight="1">
      <c r="A46" t="s">
        <v>370</v>
      </c>
      <c r="B46" s="4" t="str">
        <f>IF(OR(COUNTIF(决策看板!$D$35:$D$64,"未通过")&gt;0,COUNTIF(D34:D43,"待判断")&gt;0),"待判断：请检查参数",IF(COUNTIF(D34:D43,"未通过")&gt;0,"未通过","通过"))</f>
        <v>未通过</v>
      </c>
      <c r="E46" s="4" t="str">
        <f>IF(OR(COUNTIF(决策看板!$D$35:$D$64,"未通过")&gt;0,COUNTIF(F34:F43,"待判断")&gt;0),"待判断：请检查参数",IF(COUNTIF(F34:F43,"未通过")&gt;0,"未通过","通过"))</f>
        <v>未通过</v>
      </c>
    </row>
    <row r="48" spans="1:7" ht="57.95" customHeight="1">
      <c r="A48" t="s">
        <v>371</v>
      </c>
      <c r="B48" s="14" t="str">
        <f>IF(COUNTIF(决策看板!$D$35:$D$64,"未通过")&gt;0,"参数校验未通过；","")&amp;IF(D34="未通过","项目税后IRR未达标；",IF(D34="待判断","项目税后IRR无法计算；",""))&amp;IF(D35="未通过","资本金IRR未达标；",IF(D35="待判断","资本金IRR无法计算；",""))&amp;IF(D36="未通过","项目NPV未达标；",IF(D36="待判断","项目NPV无法计算；",""))&amp;IF(D37="未通过","资本金NPV未达标；",IF(D37="待判断","资本金NPV无法计算；",""))&amp;IF(D38="未通过","静态回收期未达标；",IF(D38="待判断","静态回收期无法计算；",""))&amp;IF(D39="未通过","动态回收期未达标；",IF(D39="待判断","动态回收期无法计算；",""))&amp;IF(D40="未通过","最低偿债覆盖倍数未达标；",IF(D40="待判断","最低偿债覆盖倍数无法计算；",""))&amp;IF(D41="未通过","所需累计资本金未达标；",IF(D41="待判断","所需累计资本金无法计算；",""))&amp;IF(D42="未通过","未落实资金缺口最大值未达标；",IF(D42="待判断","未落实资金缺口最大值无法计算；",""))&amp;IF(D43="未通过","贷款到期未偿本金未达标；",IF(D43="待判断","贷款到期未偿本金无法计算；",""))</f>
        <v>项目税后IRR未达标；资本金IRR未达标；项目NPV未达标；资本金NPV未达标；静态回收期未达标；动态回收期未达标；最低偿债覆盖倍数未达标；</v>
      </c>
      <c r="C48" s="14"/>
      <c r="D48" s="14"/>
      <c r="E48" s="14"/>
      <c r="F48" s="14"/>
      <c r="G48" s="14"/>
    </row>
    <row r="50" spans="1:7" ht="57.95" customHeight="1">
      <c r="A50" t="s">
        <v>372</v>
      </c>
      <c r="B50" s="14" t="str">
        <f>IF(COUNTIF(决策看板!$D$35:$D$64,"未通过")&gt;0,"参数校验未通过；","")&amp;IF(F34="未通过","项目税后IRR未达标；",IF(F34="待判断","项目税后IRR无法计算；",""))&amp;IF(F35="未通过","资本金IRR未达标；",IF(F35="待判断","资本金IRR无法计算；",""))&amp;IF(F36="未通过","项目NPV未达标；",IF(F36="待判断","项目NPV无法计算；",""))&amp;IF(F37="未通过","资本金NPV未达标；",IF(F37="待判断","资本金NPV无法计算；",""))&amp;IF(F38="未通过","静态回收期未达标；",IF(F38="待判断","静态回收期无法计算；",""))&amp;IF(F39="未通过","动态回收期未达标；",IF(F39="待判断","动态回收期无法计算；",""))&amp;IF(F40="未通过","最低偿债覆盖倍数未达标；",IF(F40="待判断","最低偿债覆盖倍数无法计算；",""))&amp;IF(F41="未通过","所需累计资本金未达标；",IF(F41="待判断","所需累计资本金无法计算；",""))&amp;IF(F42="未通过","未落实资金缺口最大值未达标；",IF(F42="待判断","未落实资金缺口最大值无法计算；",""))&amp;IF(F43="未通过","贷款到期未偿本金未达标；",IF(F43="待判断","贷款到期未偿本金无法计算；",""))</f>
        <v>项目税后IRR未达标；资本金IRR未达标；项目NPV未达标；资本金NPV未达标；静态回收期未达标；动态回收期未达标；最低偿债覆盖倍数未达标；所需累计资本金未达标；未落实资金缺口最大值未达标；</v>
      </c>
      <c r="C50" s="14"/>
      <c r="D50" s="14"/>
      <c r="E50" s="14"/>
      <c r="F50" s="14"/>
      <c r="G50" s="14"/>
    </row>
  </sheetData>
  <mergeCells count="3">
    <mergeCell ref="A31:G31"/>
    <mergeCell ref="B48:G48"/>
    <mergeCell ref="B50:G50"/>
  </mergeCells>
  <phoneticPr fontId="7" type="noConversion"/>
  <conditionalFormatting sqref="B46:G46">
    <cfRule type="beginsWith" dxfId="27" priority="9" operator="beginsWith" text="通过">
      <formula>LEFT(B46,2)="通过"</formula>
    </cfRule>
    <cfRule type="beginsWith" dxfId="26" priority="10" operator="beginsWith" text="未通过">
      <formula>LEFT(B46,3)="未通过"</formula>
    </cfRule>
    <cfRule type="beginsWith" dxfId="25" priority="11" operator="beginsWith" text="不适用">
      <formula>LEFT(B46,3)="不适用"</formula>
    </cfRule>
    <cfRule type="beginsWith" dxfId="24" priority="12" operator="beginsWith" text="待判断">
      <formula>LEFT(B46,3)="待判断"</formula>
    </cfRule>
  </conditionalFormatting>
  <conditionalFormatting sqref="D34:D43">
    <cfRule type="beginsWith" dxfId="23" priority="1" operator="beginsWith" text="通过">
      <formula>LEFT(D34,2)="通过"</formula>
    </cfRule>
    <cfRule type="beginsWith" dxfId="22" priority="2" operator="beginsWith" text="未通过">
      <formula>LEFT(D34,3)="未通过"</formula>
    </cfRule>
    <cfRule type="beginsWith" dxfId="21" priority="3" operator="beginsWith" text="不适用">
      <formula>LEFT(D34,3)="不适用"</formula>
    </cfRule>
    <cfRule type="beginsWith" dxfId="20" priority="4" operator="beginsWith" text="待判断">
      <formula>LEFT(D34,3)="待判断"</formula>
    </cfRule>
  </conditionalFormatting>
  <conditionalFormatting sqref="F34:F43">
    <cfRule type="beginsWith" dxfId="19" priority="5" operator="beginsWith" text="通过">
      <formula>LEFT(F34,2)="通过"</formula>
    </cfRule>
    <cfRule type="beginsWith" dxfId="18" priority="6" operator="beginsWith" text="未通过">
      <formula>LEFT(F34,3)="未通过"</formula>
    </cfRule>
    <cfRule type="beginsWith" dxfId="17" priority="7" operator="beginsWith" text="不适用">
      <formula>LEFT(F34,3)="不适用"</formula>
    </cfRule>
    <cfRule type="beginsWith" dxfId="16" priority="8" operator="beginsWith" text="待判断">
      <formula>LEFT(F34,3)="待判断"</formula>
    </cfRule>
  </conditionalFormatting>
  <pageMargins left="0.25" right="0.25" top="0.4" bottom="0.4" header="0.3" footer="0.3"/>
  <pageSetup paperSize="9" scale="39" fitToHeight="0" orientation="landscape" r:id="rId1"/>
  <headerFooter>
    <oddFooter>&amp;L模拟数据 · 学习用途&amp;C&amp;P /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203E56"/>
    <pageSetUpPr fitToPage="1"/>
  </sheetPr>
  <dimension ref="A2:AH151"/>
  <sheetViews>
    <sheetView showGridLines="0" zoomScale="85" zoomScaleNormal="85" workbookViewId="0">
      <pane ySplit="7" topLeftCell="A8" activePane="bottomLeft" state="frozen"/>
      <selection pane="bottomLeft"/>
    </sheetView>
  </sheetViews>
  <sheetFormatPr defaultRowHeight="21" customHeight="1"/>
  <cols>
    <col min="1" max="1" width="48.75" customWidth="1"/>
    <col min="2" max="3" width="22.75" customWidth="1"/>
    <col min="4" max="4" width="18.75" customWidth="1"/>
    <col min="5" max="5" width="24.75" customWidth="1"/>
    <col min="6" max="6" width="20.75" customWidth="1"/>
    <col min="7" max="7" width="26.75" customWidth="1"/>
    <col min="8" max="12" width="12.75" customWidth="1"/>
    <col min="13" max="34" width="15.75" style="1" customWidth="1"/>
  </cols>
  <sheetData>
    <row r="2" spans="1:7" ht="29.1" customHeight="1">
      <c r="A2" s="2" t="s">
        <v>9</v>
      </c>
    </row>
    <row r="5" spans="1:7" ht="21" customHeight="1">
      <c r="A5" s="19" t="str">
        <f>IF(OR(LEFT(指标与情景测算!B46,3)="待判断",AND(核心参数输入!$B$82=1,LEFT(指标与情景测算!E46,3)="待判断")),"待判断：请检查参数",IF(AND(指标与情景测算!B46="通过",OR(核心参数输入!$B$82=0,指标与情景测算!E46="通过")),"通过：当前模拟参数下具备投资条件","未通过"))</f>
        <v>未通过</v>
      </c>
      <c r="B5" s="19"/>
      <c r="C5" s="19"/>
      <c r="D5" s="19"/>
      <c r="E5" s="19"/>
      <c r="F5" s="19"/>
      <c r="G5" s="19"/>
    </row>
    <row r="6" spans="1:7" ht="21" customHeight="1">
      <c r="A6" s="19"/>
      <c r="B6" s="19"/>
      <c r="C6" s="19"/>
      <c r="D6" s="19"/>
      <c r="E6" s="19"/>
      <c r="F6" s="19"/>
      <c r="G6" s="19"/>
    </row>
    <row r="8" spans="1:7" ht="21" customHeight="1">
      <c r="A8" t="s">
        <v>15</v>
      </c>
      <c r="B8" s="14" t="str">
        <f>核心参数输入!$B$7</f>
        <v>模拟产业园 · 租售结合</v>
      </c>
      <c r="C8" s="17"/>
      <c r="E8" s="18" t="s">
        <v>373</v>
      </c>
      <c r="F8" s="18"/>
      <c r="G8" s="13">
        <f>建筑面积与开发计划!$B$8</f>
        <v>135000</v>
      </c>
    </row>
    <row r="9" spans="1:7" ht="21" customHeight="1">
      <c r="A9" t="s">
        <v>374</v>
      </c>
      <c r="B9" s="17">
        <f>核心参数输入!$B$9</f>
        <v>20</v>
      </c>
      <c r="C9" s="17"/>
      <c r="E9" s="18" t="s">
        <v>375</v>
      </c>
      <c r="F9" s="18"/>
      <c r="G9" s="4" t="str">
        <f>TEXT(核心参数输入!$B$14,"0%")&amp;" / "&amp;TEXT(核心参数输入!$B$15,"0%")</f>
        <v>55% / 45%</v>
      </c>
    </row>
    <row r="10" spans="1:7" ht="21" customHeight="1">
      <c r="A10" t="s">
        <v>376</v>
      </c>
      <c r="B10" s="17">
        <f>建筑面积与开发计划!$B$7</f>
        <v>150000</v>
      </c>
      <c r="C10" s="17"/>
      <c r="E10" s="18" t="s">
        <v>377</v>
      </c>
      <c r="F10" s="18"/>
      <c r="G10" s="13">
        <f>建筑面积与开发计划!$B$10</f>
        <v>60749.999999999993</v>
      </c>
    </row>
    <row r="11" spans="1:7" ht="21" customHeight="1">
      <c r="A11" t="s">
        <v>378</v>
      </c>
      <c r="B11" s="17">
        <f>指标与情景测算!B16</f>
        <v>63310</v>
      </c>
      <c r="C11" s="17"/>
      <c r="E11" s="18" t="s">
        <v>379</v>
      </c>
      <c r="F11" s="18"/>
      <c r="G11" s="13">
        <f>核心参数输入!$B$57</f>
        <v>30000</v>
      </c>
    </row>
    <row r="12" spans="1:7" ht="21" customHeight="1">
      <c r="A12" t="s">
        <v>380</v>
      </c>
      <c r="B12" s="17">
        <f>指标与情景测算!B13</f>
        <v>32810</v>
      </c>
      <c r="C12" s="17"/>
      <c r="E12" s="18" t="s">
        <v>381</v>
      </c>
      <c r="F12" s="18"/>
      <c r="G12" s="13">
        <f>核心参数输入!$B$61</f>
        <v>33000</v>
      </c>
    </row>
    <row r="13" spans="1:7" ht="21" customHeight="1">
      <c r="A13" t="s">
        <v>382</v>
      </c>
      <c r="B13" s="17">
        <f>指标与情景测算!B14</f>
        <v>0</v>
      </c>
      <c r="C13" s="17"/>
      <c r="E13" s="18" t="s">
        <v>383</v>
      </c>
      <c r="F13" s="18"/>
      <c r="G13" s="4" t="str">
        <f>IF(核心参数输入!$B$82=1,"是","否，仅供观察")</f>
        <v>否，仅供观察</v>
      </c>
    </row>
    <row r="15" spans="1:7" ht="35.1" customHeight="1">
      <c r="A15" s="14" t="str">
        <f>指标与情景测算!B48&amp;IF(核心参数输入!$B$82=1," 压力情景："&amp;指标与情景测算!B50,"")</f>
        <v>项目税后IRR未达标；资本金IRR未达标；项目NPV未达标；资本金NPV未达标；静态回收期未达标；动态回收期未达标；最低偿债覆盖倍数未达标；</v>
      </c>
      <c r="B15" s="14"/>
      <c r="C15" s="14"/>
      <c r="D15" s="14"/>
      <c r="E15" s="14"/>
      <c r="F15" s="14"/>
      <c r="G15" s="14"/>
    </row>
    <row r="16" spans="1:7" ht="30" customHeight="1">
      <c r="A16" s="14"/>
      <c r="B16" s="14"/>
      <c r="C16" s="14"/>
      <c r="D16" s="14"/>
      <c r="E16" s="14"/>
      <c r="F16" s="14"/>
      <c r="G16" s="14"/>
    </row>
    <row r="18" spans="1:7" ht="21" customHeight="1">
      <c r="A18" s="5" t="s">
        <v>362</v>
      </c>
      <c r="B18" s="5" t="s">
        <v>384</v>
      </c>
      <c r="C18" s="5" t="s">
        <v>385</v>
      </c>
      <c r="D18" s="5" t="s">
        <v>386</v>
      </c>
      <c r="E18" s="5" t="s">
        <v>387</v>
      </c>
      <c r="F18" s="5" t="s">
        <v>367</v>
      </c>
    </row>
    <row r="19" spans="1:7" ht="21" customHeight="1">
      <c r="A19" t="s">
        <v>316</v>
      </c>
      <c r="B19" s="10">
        <f>指标与情景测算!B34</f>
        <v>-1.1985485110139971E-2</v>
      </c>
      <c r="C19" s="10">
        <f>指标与情景测算!C34</f>
        <v>0.08</v>
      </c>
      <c r="D19" s="11" t="str">
        <f>指标与情景测算!D34</f>
        <v>未通过</v>
      </c>
      <c r="E19" s="10">
        <f>指标与情景测算!E34</f>
        <v>-4.5961144616110006E-2</v>
      </c>
      <c r="F19" s="11" t="str">
        <f>指标与情景测算!F34</f>
        <v>未通过</v>
      </c>
    </row>
    <row r="20" spans="1:7" ht="21" customHeight="1">
      <c r="A20" t="s">
        <v>318</v>
      </c>
      <c r="B20" s="10">
        <f>指标与情景测算!B35</f>
        <v>-3.5751039842847443E-2</v>
      </c>
      <c r="C20" s="10">
        <f>指标与情景测算!C35</f>
        <v>0.1</v>
      </c>
      <c r="D20" s="11" t="str">
        <f>指标与情景测算!D35</f>
        <v>未通过</v>
      </c>
      <c r="E20" s="10">
        <f>指标与情景测算!E35</f>
        <v>-7.9012247686424009E-2</v>
      </c>
      <c r="F20" s="11" t="str">
        <f>指标与情景测算!F35</f>
        <v>未通过</v>
      </c>
    </row>
    <row r="21" spans="1:7" ht="21" customHeight="1">
      <c r="A21" t="s">
        <v>320</v>
      </c>
      <c r="B21" s="1">
        <f>指标与情景测算!B36</f>
        <v>-19528.190372715155</v>
      </c>
      <c r="C21" s="1">
        <f>指标与情景测算!C36</f>
        <v>0</v>
      </c>
      <c r="D21" s="11" t="str">
        <f>指标与情景测算!D36</f>
        <v>未通过</v>
      </c>
      <c r="E21" s="1">
        <f>指标与情景测算!E36</f>
        <v>-27383.782286691818</v>
      </c>
      <c r="F21" s="11" t="str">
        <f>指标与情景测算!F36</f>
        <v>未通过</v>
      </c>
    </row>
    <row r="22" spans="1:7" ht="21" customHeight="1">
      <c r="A22" t="s">
        <v>322</v>
      </c>
      <c r="B22" s="1">
        <f>指标与情景测算!B37</f>
        <v>-17639.682755211808</v>
      </c>
      <c r="C22" s="1">
        <f>指标与情景测算!C37</f>
        <v>0</v>
      </c>
      <c r="D22" s="11" t="str">
        <f>指标与情景测算!D37</f>
        <v>未通过</v>
      </c>
      <c r="E22" s="1">
        <f>指标与情景测算!E37</f>
        <v>-25789.873132528617</v>
      </c>
      <c r="F22" s="11" t="str">
        <f>指标与情景测算!F37</f>
        <v>未通过</v>
      </c>
    </row>
    <row r="23" spans="1:7" ht="21" customHeight="1">
      <c r="A23" t="s">
        <v>368</v>
      </c>
      <c r="B23" s="1" t="str">
        <f>指标与情景测算!B38</f>
        <v>测算期内未回收</v>
      </c>
      <c r="C23" s="1">
        <f>指标与情景测算!C38</f>
        <v>15</v>
      </c>
      <c r="D23" s="11" t="str">
        <f>指标与情景测算!D38</f>
        <v>未通过</v>
      </c>
      <c r="E23" s="1" t="str">
        <f>指标与情景测算!E38</f>
        <v>测算期内未回收</v>
      </c>
      <c r="F23" s="11" t="str">
        <f>指标与情景测算!F38</f>
        <v>未通过</v>
      </c>
    </row>
    <row r="24" spans="1:7" ht="21" customHeight="1">
      <c r="A24" t="s">
        <v>369</v>
      </c>
      <c r="B24" s="1" t="str">
        <f>指标与情景测算!B39</f>
        <v>测算期内未回收</v>
      </c>
      <c r="C24" s="1">
        <f>指标与情景测算!C39</f>
        <v>20</v>
      </c>
      <c r="D24" s="11" t="str">
        <f>指标与情景测算!D39</f>
        <v>未通过</v>
      </c>
      <c r="E24" s="1" t="str">
        <f>指标与情景测算!E39</f>
        <v>测算期内未回收</v>
      </c>
      <c r="F24" s="11" t="str">
        <f>指标与情景测算!F39</f>
        <v>未通过</v>
      </c>
    </row>
    <row r="25" spans="1:7" ht="21" customHeight="1">
      <c r="A25" t="s">
        <v>142</v>
      </c>
      <c r="B25" s="1">
        <f>指标与情景测算!B40</f>
        <v>0.20055108484127229</v>
      </c>
      <c r="C25" s="1">
        <f>指标与情景测算!C40</f>
        <v>1.2</v>
      </c>
      <c r="D25" s="11" t="str">
        <f>指标与情景测算!D40</f>
        <v>未通过</v>
      </c>
      <c r="E25" s="1">
        <f>指标与情景测算!E40</f>
        <v>0.13973931431098466</v>
      </c>
      <c r="F25" s="11" t="str">
        <f>指标与情景测算!F40</f>
        <v>未通过</v>
      </c>
    </row>
    <row r="26" spans="1:7" ht="21" customHeight="1">
      <c r="A26" t="s">
        <v>330</v>
      </c>
      <c r="B26" s="1">
        <f>指标与情景测算!B41</f>
        <v>32810</v>
      </c>
      <c r="C26" s="1">
        <f>指标与情景测算!C41</f>
        <v>33000</v>
      </c>
      <c r="D26" s="11" t="str">
        <f>指标与情景测算!D41</f>
        <v>通过</v>
      </c>
      <c r="E26" s="1">
        <f>指标与情景测算!E41</f>
        <v>38102</v>
      </c>
      <c r="F26" s="11" t="str">
        <f>指标与情景测算!F41</f>
        <v>未通过</v>
      </c>
    </row>
    <row r="27" spans="1:7" ht="21" customHeight="1">
      <c r="A27" t="s">
        <v>332</v>
      </c>
      <c r="B27" s="1">
        <f>指标与情景测算!B42</f>
        <v>0</v>
      </c>
      <c r="C27" s="1">
        <f>指标与情景测算!C42</f>
        <v>0</v>
      </c>
      <c r="D27" s="11" t="str">
        <f>指标与情景测算!D42</f>
        <v>通过</v>
      </c>
      <c r="E27" s="1">
        <f>指标与情景测算!E42</f>
        <v>5102</v>
      </c>
      <c r="F27" s="11" t="str">
        <f>指标与情景测算!F42</f>
        <v>未通过</v>
      </c>
    </row>
    <row r="28" spans="1:7" ht="21" customHeight="1">
      <c r="A28" t="s">
        <v>334</v>
      </c>
      <c r="B28" s="1">
        <f>指标与情景测算!B43</f>
        <v>0</v>
      </c>
      <c r="C28" s="1">
        <f>指标与情景测算!C43</f>
        <v>0</v>
      </c>
      <c r="D28" s="11" t="str">
        <f>指标与情景测算!D43</f>
        <v>通过</v>
      </c>
      <c r="E28" s="1">
        <f>指标与情景测算!E43</f>
        <v>0</v>
      </c>
      <c r="F28" s="11" t="str">
        <f>指标与情景测算!F43</f>
        <v>通过</v>
      </c>
    </row>
    <row r="30" spans="1:7" ht="21" customHeight="1">
      <c r="A30" s="14" t="str">
        <f>指标与情景测算!B27&amp;"；"&amp;指标与情景测算!B25</f>
        <v>按完整出资计划测算；单次变号或无变号</v>
      </c>
      <c r="B30" s="14"/>
      <c r="C30" s="14"/>
      <c r="D30" s="14"/>
      <c r="E30" s="14"/>
      <c r="F30" s="14"/>
      <c r="G30" s="14"/>
    </row>
    <row r="31" spans="1:7" ht="21" customHeight="1">
      <c r="A31" s="14"/>
      <c r="B31" s="14"/>
      <c r="C31" s="14"/>
      <c r="D31" s="14"/>
      <c r="E31" s="14"/>
      <c r="F31" s="14"/>
      <c r="G31" s="14"/>
    </row>
    <row r="33" spans="1:7" ht="21" customHeight="1">
      <c r="A33" s="15" t="s">
        <v>388</v>
      </c>
      <c r="B33" s="15"/>
      <c r="C33" s="15"/>
      <c r="D33" s="15"/>
      <c r="E33" s="15"/>
      <c r="F33" s="15"/>
      <c r="G33" s="15"/>
    </row>
    <row r="34" spans="1:7" ht="21" customHeight="1">
      <c r="A34" s="5" t="s">
        <v>389</v>
      </c>
      <c r="B34" s="5" t="s">
        <v>390</v>
      </c>
      <c r="D34" s="5" t="s">
        <v>391</v>
      </c>
    </row>
    <row r="35" spans="1:7" ht="30.95" customHeight="1">
      <c r="A35" t="s">
        <v>392</v>
      </c>
      <c r="B35" s="14" t="s">
        <v>393</v>
      </c>
      <c r="C35" s="14"/>
      <c r="D35" s="11" t="str">
        <f>IF(AND(COUNT(核心参数输入!$B$8,核心参数输入!$B$9,核心参数输入!$B$10,核心参数输入!$B$11,核心参数输入!$B$12,核心参数输入!$B$13,核心参数输入!$B$14,核心参数输入!$B$16,核心参数输入!$B$17,核心参数输入!$B$18,核心参数输入!$B$21,核心参数输入!$B$22,核心参数输入!$B$23,核心参数输入!$B$24,核心参数输入!$B$25,核心参数输入!$B$26,核心参数输入!$B$27,核心参数输入!$B$28,核心参数输入!$B$31,核心参数输入!$B$32,核心参数输入!$B$33,核心参数输入!$B$36,核心参数输入!$B$37,核心参数输入!$B$38,核心参数输入!$B$39,核心参数输入!$B$40,核心参数输入!$B$41,核心参数输入!$B$42,核心参数输入!$B$43,核心参数输入!$B$44,核心参数输入!$B$47,核心参数输入!$B$48,核心参数输入!$B$49,核心参数输入!$B$50,核心参数输入!$B$51,核心参数输入!$B$52,核心参数输入!$B$53,核心参数输入!$B$54,核心参数输入!$B$57,核心参数输入!$B$58,核心参数输入!$B$59,核心参数输入!$B$60,核心参数输入!$B$61,核心参数输入!$B$64,核心参数输入!$B$65,核心参数输入!$B$66,核心参数输入!$B$69,核心参数输入!$B$70,核心参数输入!$B$71,核心参数输入!$B$72,核心参数输入!$B$73,核心参数输入!$B$74,核心参数输入!$B$75,核心参数输入!$B$78,核心参数输入!$B$79,核心参数输入!$B$80,核心参数输入!$B$81,核心参数输入!$B$82)=58,COUNT(核心参数输入!$D$88:$AH$88)=31,COUNT(核心参数输入!$D$89:$AH$89)=31,核心参数输入!$B$7&lt;&gt;""),"通过","未通过")</f>
        <v>通过</v>
      </c>
    </row>
    <row r="36" spans="1:7" ht="30.95" customHeight="1">
      <c r="A36" t="s">
        <v>394</v>
      </c>
      <c r="B36" s="14" t="s">
        <v>395</v>
      </c>
      <c r="C36" s="14"/>
      <c r="D36" s="11" t="str">
        <f>IF(AND(核心参数输入!$B$9=INT(核心参数输入!$B$9),核心参数输入!$B$9&lt;=30,核心参数输入!$B$16=INT(核心参数输入!$B$16),核心参数输入!$B$16&gt;=1,核心参数输入!$B$9&gt;核心参数输入!$B$16),"通过","未通过")</f>
        <v>通过</v>
      </c>
    </row>
    <row r="37" spans="1:7" ht="30.95" customHeight="1">
      <c r="A37" t="s">
        <v>396</v>
      </c>
      <c r="B37" s="14" t="s">
        <v>397</v>
      </c>
      <c r="C37" s="14"/>
      <c r="D37" s="11" t="str">
        <f>IF(AND(核心参数输入!$B$10&gt;0,核心参数输入!$B$11&gt;0,核心参数输入!$B$13&gt;=0,核心参数输入!$B$12&gt;0,核心参数输入!$B$12&lt;=1,核心参数输入!$B$14&gt;0,核心参数输入!$B$14&lt;1),"通过","未通过")</f>
        <v>通过</v>
      </c>
    </row>
    <row r="38" spans="1:7" ht="30.95" customHeight="1">
      <c r="A38" t="s">
        <v>398</v>
      </c>
      <c r="B38" s="14" t="s">
        <v>399</v>
      </c>
      <c r="C38" s="14"/>
      <c r="D38" s="11" t="str">
        <f>IF(ABS(建筑面积与开发计划!$B$9+建筑面积与开发计划!$B$10-建筑面积与开发计划!$B$8)&lt;=0.01,"通过","未通过")</f>
        <v>通过</v>
      </c>
    </row>
    <row r="39" spans="1:7" ht="30.95" customHeight="1">
      <c r="A39" t="s">
        <v>400</v>
      </c>
      <c r="B39" s="14" t="s">
        <v>401</v>
      </c>
      <c r="C39" s="14"/>
      <c r="D39" s="11" t="str">
        <f>IF(AND(ABS(SUM(核心参数输入!$D$88:$AH$88)-1)&lt;=0.000001,MIN(核心参数输入!$D$88:$AH$88)&gt;=0,MAX(核心参数输入!$D$88:$AH$88)&lt;=1),"通过","未通过")</f>
        <v>通过</v>
      </c>
    </row>
    <row r="40" spans="1:7" ht="30.95" customHeight="1">
      <c r="A40" t="s">
        <v>402</v>
      </c>
      <c r="B40" s="14" t="s">
        <v>403</v>
      </c>
      <c r="C40" s="14"/>
      <c r="D40" s="11" t="str">
        <f>IF(SUMPRODUCT(核心参数输入!$D$88:$AH$88,--((核心参数输入!$D$87:$AH$87&lt;1)+(核心参数输入!$D$87:$AH$87&gt;核心参数输入!$B$16)))=0,"通过","未通过")</f>
        <v>通过</v>
      </c>
    </row>
    <row r="41" spans="1:7" ht="30.95" customHeight="1">
      <c r="A41" t="s">
        <v>404</v>
      </c>
      <c r="B41" s="14" t="s">
        <v>405</v>
      </c>
      <c r="C41" s="14"/>
      <c r="D41" s="11" t="str">
        <f>IF(AND(SUM(核心参数输入!$D$89:$AH$89)&lt;=1.000001,MIN(核心参数输入!$D$89:$AH$89)&gt;=0,MAX(核心参数输入!$D$89:$AH$89)&lt;=1),"通过","未通过")</f>
        <v>通过</v>
      </c>
    </row>
    <row r="42" spans="1:7" ht="30.95" customHeight="1">
      <c r="A42" t="s">
        <v>406</v>
      </c>
      <c r="B42" s="14" t="s">
        <v>407</v>
      </c>
      <c r="C42" s="14"/>
      <c r="D42" s="11" t="str">
        <f>IF(SUMPRODUCT(核心参数输入!$D$89:$AH$89,--((核心参数输入!$D$87:$AH$87&lt;核心参数输入!$B$17)+(核心参数输入!$D$87:$AH$87&gt;核心参数输入!$B$9)))=0,"通过","未通过")</f>
        <v>通过</v>
      </c>
    </row>
    <row r="43" spans="1:7" ht="30.95" customHeight="1">
      <c r="A43" t="s">
        <v>408</v>
      </c>
      <c r="B43" s="14" t="s">
        <v>409</v>
      </c>
      <c r="C43" s="14"/>
      <c r="D43" s="11" t="str">
        <f>IF(AND(核心参数输入!$B$17&gt;核心参数输入!$B$16,核心参数输入!$B$18&gt;核心参数输入!$B$16,核心参数输入!$B$17&lt;=核心参数输入!$B$9,核心参数输入!$B$18&lt;=核心参数输入!$B$9,核心参数输入!$B$17=INT(核心参数输入!$B$17),核心参数输入!$B$18=INT(核心参数输入!$B$18)),"通过","未通过")</f>
        <v>通过</v>
      </c>
    </row>
    <row r="44" spans="1:7" ht="30.95" customHeight="1">
      <c r="A44" t="s">
        <v>410</v>
      </c>
      <c r="B44" s="14" t="s">
        <v>411</v>
      </c>
      <c r="C44" s="14"/>
      <c r="D44" s="11" t="str">
        <f>IF(AND(核心参数输入!$B$38&gt;=0,核心参数输入!$B$38&lt;=核心参数输入!$B$39,核心参数输入!$B$39&lt;=核心参数输入!$B$40,核心参数输入!$B$40&lt;=核心参数输入!$B$41,核心参数输入!$B$41&lt;=1),"通过","未通过")</f>
        <v>通过</v>
      </c>
    </row>
    <row r="45" spans="1:7" ht="30.95" customHeight="1">
      <c r="A45" t="s">
        <v>412</v>
      </c>
      <c r="B45" s="14" t="s">
        <v>413</v>
      </c>
      <c r="C45" s="14"/>
      <c r="D45" s="11" t="str">
        <f>IF(AND(核心参数输入!$B$42&gt;=0,核心参数输入!$B$42&lt;=12,核心参数输入!$B$43&gt;0,核心参数输入!$B$43&lt;=1),"通过","未通过")</f>
        <v>通过</v>
      </c>
    </row>
    <row r="46" spans="1:7" ht="30.95" customHeight="1">
      <c r="A46" t="s">
        <v>414</v>
      </c>
      <c r="B46" s="14" t="s">
        <v>415</v>
      </c>
      <c r="C46" s="14"/>
      <c r="D46" s="11" t="str">
        <f>IF(MIN(核心参数输入!$B$21,核心参数输入!$B$22,核心参数输入!$B$23,核心参数输入!$B$24,核心参数输入!$B$25,核心参数输入!$B$26,核心参数输入!$B$28,核心参数输入!$B$31,核心参数输入!$B$36,核心参数输入!$B$47,核心参数输入!$B$50,核心参数输入!$B$57,核心参数输入!$B$61,核心参数输入!$B$65)&gt;=0,"通过","未通过")</f>
        <v>通过</v>
      </c>
    </row>
    <row r="47" spans="1:7" ht="30.95" customHeight="1">
      <c r="A47" t="s">
        <v>416</v>
      </c>
      <c r="B47" s="14" t="s">
        <v>417</v>
      </c>
      <c r="C47" s="14"/>
      <c r="D47" s="11" t="str">
        <f>IF(AND(MIN(核心参数输入!$B$27,核心参数输入!$B$32,核心参数输入!$B$33,核心参数输入!$B$49,核心参数输入!$B$51,核心参数输入!$B$52,核心参数输入!$B$54,核心参数输入!$B$66,核心参数输入!$B$44)&gt;=0,MAX(核心参数输入!$B$27,核心参数输入!$B$32,核心参数输入!$B$33,核心参数输入!$B$49,核心参数输入!$B$51,核心参数输入!$B$52,核心参数输入!$B$54,核心参数输入!$B$66,核心参数输入!$B$44)&lt;=1),"通过","未通过")</f>
        <v>通过</v>
      </c>
    </row>
    <row r="48" spans="1:7" ht="30.95" customHeight="1">
      <c r="A48" t="s">
        <v>418</v>
      </c>
      <c r="B48" s="14" t="s">
        <v>419</v>
      </c>
      <c r="C48" s="14"/>
      <c r="D48" s="11" t="str">
        <f>IF(AND(核心参数输入!$B$37&gt;-1,核心参数输入!$B$48&gt;-1,核心参数输入!$B$58&gt;=0,核心参数输入!$B$58&lt;=1,核心参数输入!$B$71&gt;=0,核心参数输入!$B$72&gt;=0),"通过","未通过")</f>
        <v>通过</v>
      </c>
    </row>
    <row r="49" spans="1:4" ht="30.95" customHeight="1">
      <c r="A49" t="s">
        <v>420</v>
      </c>
      <c r="B49" s="14" t="s">
        <v>421</v>
      </c>
      <c r="C49" s="14"/>
      <c r="D49" s="11" t="str">
        <f>IF(AND(核心参数输入!$B$53&gt;=1,核心参数输入!$B$53&lt;=100,核心参数输入!$B$53=INT(核心参数输入!$B$53)),"通过","未通过")</f>
        <v>通过</v>
      </c>
    </row>
    <row r="50" spans="1:4" ht="30.95" customHeight="1">
      <c r="A50" t="s">
        <v>422</v>
      </c>
      <c r="B50" s="14" t="s">
        <v>423</v>
      </c>
      <c r="C50" s="14"/>
      <c r="D50" s="11" t="str">
        <f>IF(核心参数输入!$B$57&lt;=投资与资金安排!$B$14+0.01,"通过","未通过")</f>
        <v>通过</v>
      </c>
    </row>
    <row r="51" spans="1:4" ht="30.95" customHeight="1">
      <c r="A51" t="s">
        <v>424</v>
      </c>
      <c r="B51" s="14" t="s">
        <v>425</v>
      </c>
      <c r="C51" s="14"/>
      <c r="D51" s="11" t="str">
        <f>IF(OR(核心参数输入!$B$57=0,AND(核心参数输入!$B$59&gt;=1,核心参数输入!$B$59=INT(核心参数输入!$B$59),核心参数输入!$B$60=INT(核心参数输入!$B$60),核心参数输入!$B$60&gt;核心参数输入!$B$16,核心参数输入!$B$60&lt;=融资与还本付息!$B$7)),"通过","未通过")</f>
        <v>通过</v>
      </c>
    </row>
    <row r="52" spans="1:4" ht="30.95" customHeight="1">
      <c r="A52" t="s">
        <v>426</v>
      </c>
      <c r="B52" s="14" t="s">
        <v>427</v>
      </c>
      <c r="C52" s="14"/>
      <c r="D52" s="11" t="str">
        <f>IF(OR(核心参数输入!$B$57=0,核心参数输入!$B$9&gt;=融资与还本付息!$B$7),"通过","未通过")</f>
        <v>通过</v>
      </c>
    </row>
    <row r="53" spans="1:4" ht="30.95" customHeight="1">
      <c r="A53" t="s">
        <v>428</v>
      </c>
      <c r="B53" s="14" t="s">
        <v>429</v>
      </c>
      <c r="C53" s="14"/>
      <c r="D53" s="11" t="str">
        <f>IF(AND(ABS(SUM(融资与还本付息!$D$11:$AH$11)-核心参数输入!$B$57)&lt;=0.01,ABS(SUM(融资与还本付息!$D$91:$AH$91)-核心参数输入!$B$57)&lt;=0.01),"通过","未通过")</f>
        <v>通过</v>
      </c>
    </row>
    <row r="54" spans="1:4" ht="30.95" customHeight="1">
      <c r="A54" t="s">
        <v>430</v>
      </c>
      <c r="B54" s="14" t="s">
        <v>431</v>
      </c>
      <c r="C54" s="14"/>
      <c r="D54" s="11" t="str">
        <f>IF(AND(ABS(SUM(融资与还本付息!$D$11:$AH$11)-SUM(融资与还本付息!$D$13:$AH$13)-INDEX(融资与还本付息!$D$15:$AH$15,核心参数输入!$B$9+1))&lt;=0.01,ABS(SUM(融资与还本付息!$D$91:$AH$91)-SUM(融资与还本付息!$D$93:$AH$93)-INDEX(融资与还本付息!$D$95:$AH$95,核心参数输入!$B$9+1))&lt;=0.01),"通过","未通过")</f>
        <v>通过</v>
      </c>
    </row>
    <row r="55" spans="1:4" ht="30.95" customHeight="1">
      <c r="A55" t="s">
        <v>432</v>
      </c>
      <c r="B55" s="14" t="s">
        <v>433</v>
      </c>
      <c r="C55" s="14"/>
      <c r="D55" s="11" t="str">
        <f>IF(AND(SUMPRODUCT(ABS(利润与现金流!$D$59:$AH$59))&lt;=0.01,SUMPRODUCT(ABS(利润与现金流!$D$139:$AH$139))&lt;=0.01),"通过","未通过")</f>
        <v>通过</v>
      </c>
    </row>
    <row r="56" spans="1:4" ht="30.95" customHeight="1">
      <c r="A56" t="s">
        <v>434</v>
      </c>
      <c r="B56" s="14" t="s">
        <v>435</v>
      </c>
      <c r="C56" s="14"/>
      <c r="D56" s="11" t="str">
        <f>IF(AND(SUMPRODUCT(ABS(利润与现金流!$D$60:$AH$60))&lt;=0.01,SUMPRODUCT(ABS(利润与现金流!$D$140:$AH$140))&lt;=0.01),"通过","未通过")</f>
        <v>通过</v>
      </c>
    </row>
    <row r="57" spans="1:4" ht="30.95" customHeight="1">
      <c r="A57" t="s">
        <v>436</v>
      </c>
      <c r="B57" s="14" t="s">
        <v>437</v>
      </c>
      <c r="C57" s="14"/>
      <c r="D57" s="11" t="str">
        <f>IF(AND(SUM(利润与现金流!$D$42:$AH$42)&lt;=核心参数输入!$B$61+0.01,SUM(利润与现金流!$D$122:$AH$122)&lt;=核心参数输入!$B$61+0.01),"通过","未通过")</f>
        <v>通过</v>
      </c>
    </row>
    <row r="58" spans="1:4" ht="30.95" customHeight="1">
      <c r="A58" t="s">
        <v>438</v>
      </c>
      <c r="B58" s="14" t="s">
        <v>439</v>
      </c>
      <c r="C58" s="14"/>
      <c r="D58" s="11" t="str">
        <f>IF(AND(MAX(利润与现金流!$D$61:$AH$61)&lt;=0.01,MAX(利润与现金流!$D$141:$AH$141)&lt;=0.01),"通过","未通过")</f>
        <v>通过</v>
      </c>
    </row>
    <row r="59" spans="1:4" ht="30.95" customHeight="1">
      <c r="A59" t="s">
        <v>440</v>
      </c>
      <c r="B59" s="14" t="s">
        <v>441</v>
      </c>
      <c r="C59" s="14"/>
      <c r="D59" s="11" t="str">
        <f>IF(AND(核心参数输入!$B$78&gt;=0,核心参数输入!$B$78&lt;=1,核心参数输入!$B$79&gt;=0,核心参数输入!$B$79&lt;=1,核心参数输入!$B$80&gt;=0,核心参数输入!$B$80&lt;=100,核心参数输入!$B$81&gt;=0),"通过","未通过")</f>
        <v>通过</v>
      </c>
    </row>
    <row r="60" spans="1:4" ht="30.95" customHeight="1">
      <c r="A60" t="s">
        <v>442</v>
      </c>
      <c r="B60" s="14" t="s">
        <v>443</v>
      </c>
      <c r="C60" s="14"/>
      <c r="D60" s="11" t="str">
        <f>IF(AND(OR(核心参数输入!$B$64=0,核心参数输入!$B$64=1),OR(核心参数输入!$B$82=0,核心参数输入!$B$82=1)),"通过","未通过")</f>
        <v>通过</v>
      </c>
    </row>
    <row r="61" spans="1:4" ht="30.95" customHeight="1">
      <c r="A61" t="s">
        <v>444</v>
      </c>
      <c r="B61" s="14" t="s">
        <v>445</v>
      </c>
      <c r="C61" s="14"/>
      <c r="D61" s="11" t="str">
        <f>IF(AND(ABS(SUM(投资与资金安排!$D$35:$AH$35)-投资与资金安排!$B$18)&lt;=0.01,ABS(SUM(投资与资金安排!$D$115:$AH$115)-投资与资金安排!$B$98)&lt;=0.01),"通过","未通过")</f>
        <v>通过</v>
      </c>
    </row>
    <row r="62" spans="1:4" ht="30.95" customHeight="1">
      <c r="A62" t="s">
        <v>446</v>
      </c>
      <c r="B62" s="14" t="s">
        <v>447</v>
      </c>
      <c r="C62" s="14"/>
      <c r="D62" s="11" t="str">
        <f>IF(AND(ABS(SUM(投资与资金安排!$D$32:$AH$32)-核心参数输入!$B$28)&lt;=0.01,ABS(SUM(投资与资金安排!$D$112:$AH$112)-核心参数输入!$B$28)&lt;=0.01),"通过","未通过")</f>
        <v>通过</v>
      </c>
    </row>
    <row r="63" spans="1:4" ht="30.95" customHeight="1">
      <c r="A63" t="s">
        <v>448</v>
      </c>
      <c r="B63" s="14" t="s">
        <v>449</v>
      </c>
      <c r="C63" s="14"/>
      <c r="D63" s="11" t="str">
        <f>IF(AND(核心参数输入!$B$69&gt;=0,核心参数输入!$B$70&gt;=0,核心参数输入!$B$73&gt;0,核心参数输入!$B$74&gt;0,核心参数输入!$B$75&gt;0),"通过","未通过")</f>
        <v>通过</v>
      </c>
    </row>
    <row r="64" spans="1:4" ht="30.95" customHeight="1">
      <c r="A64" t="s">
        <v>450</v>
      </c>
      <c r="B64" s="14" t="s">
        <v>451</v>
      </c>
      <c r="C64" s="14"/>
      <c r="D64" s="11" t="str">
        <f>IF(AND(投资与资金安排!$B$18&gt;0,ABS(投资与资金安排!$B$22+投资与资金安排!$B$23+投资与资金安排!$B$21-投资与资金安排!$B$16)&lt;=0.01),"通过","未通过")</f>
        <v>通过</v>
      </c>
    </row>
    <row r="66" spans="1:7" ht="21" customHeight="1">
      <c r="A66" s="15" t="s">
        <v>452</v>
      </c>
      <c r="B66" s="15"/>
      <c r="C66" s="15"/>
      <c r="D66" s="15"/>
      <c r="E66" s="15"/>
      <c r="F66" s="15"/>
      <c r="G66" s="15"/>
    </row>
    <row r="120" spans="1:8" ht="21" customHeight="1">
      <c r="A120" s="5" t="s">
        <v>453</v>
      </c>
      <c r="B120" s="5" t="s">
        <v>454</v>
      </c>
      <c r="C120" s="5" t="s">
        <v>229</v>
      </c>
      <c r="D120" s="5" t="s">
        <v>455</v>
      </c>
      <c r="E120" s="5" t="s">
        <v>456</v>
      </c>
      <c r="F120" s="5" t="s">
        <v>457</v>
      </c>
      <c r="G120" s="5" t="s">
        <v>294</v>
      </c>
      <c r="H120" s="5" t="s">
        <v>458</v>
      </c>
    </row>
    <row r="121" spans="1:8" ht="21" customHeight="1">
      <c r="A121" s="12">
        <f>核心参数输入!D87</f>
        <v>0</v>
      </c>
      <c r="B121" s="1">
        <f>销售与出租收入!D13</f>
        <v>0</v>
      </c>
      <c r="C121" s="1">
        <f>销售与出租收入!D20</f>
        <v>0</v>
      </c>
      <c r="D121" s="1">
        <f>销售与出租收入!D21</f>
        <v>0</v>
      </c>
      <c r="E121" s="1">
        <f>利润与现金流!D19</f>
        <v>0</v>
      </c>
      <c r="F121" s="1">
        <f>融资与还本付息!D18</f>
        <v>0</v>
      </c>
      <c r="G121" s="1">
        <f>利润与现金流!D49</f>
        <v>-8000</v>
      </c>
      <c r="H121" s="1">
        <f>利润与现金流!D51</f>
        <v>-8000</v>
      </c>
    </row>
    <row r="122" spans="1:8" ht="21" customHeight="1">
      <c r="A122" s="12">
        <f>核心参数输入!E87</f>
        <v>1</v>
      </c>
      <c r="B122" s="1">
        <f>销售与出租收入!E13</f>
        <v>0</v>
      </c>
      <c r="C122" s="1">
        <f>销售与出租收入!E20</f>
        <v>0</v>
      </c>
      <c r="D122" s="1">
        <f>销售与出租收入!E21</f>
        <v>0</v>
      </c>
      <c r="E122" s="1">
        <f>利润与现金流!E19</f>
        <v>0</v>
      </c>
      <c r="F122" s="1">
        <f>融资与还本付息!E18</f>
        <v>189</v>
      </c>
      <c r="G122" s="1">
        <f>利润与现金流!E49</f>
        <v>-23876</v>
      </c>
      <c r="H122" s="1">
        <f>利润与现金流!E51</f>
        <v>-22700</v>
      </c>
    </row>
    <row r="123" spans="1:8" ht="21" customHeight="1">
      <c r="A123" s="12">
        <f>核心参数输入!F87</f>
        <v>2</v>
      </c>
      <c r="B123" s="1">
        <f>销售与出租收入!F13</f>
        <v>0</v>
      </c>
      <c r="C123" s="1">
        <f>销售与出租收入!F20</f>
        <v>0</v>
      </c>
      <c r="D123" s="1">
        <f>销售与出租收入!F21</f>
        <v>0</v>
      </c>
      <c r="E123" s="1">
        <f>利润与现金流!F19</f>
        <v>0</v>
      </c>
      <c r="F123" s="1">
        <f>融资与还本付息!F18</f>
        <v>630</v>
      </c>
      <c r="G123" s="1">
        <f>利润与现金流!F49</f>
        <v>-45044</v>
      </c>
      <c r="H123" s="1">
        <f>利润与现金流!F51</f>
        <v>-40848.148148148146</v>
      </c>
    </row>
    <row r="124" spans="1:8" ht="21" customHeight="1">
      <c r="A124" s="12">
        <f>核心参数输入!G87</f>
        <v>3</v>
      </c>
      <c r="B124" s="1">
        <f>销售与出租收入!G13</f>
        <v>0</v>
      </c>
      <c r="C124" s="1">
        <f>销售与出租收入!G20</f>
        <v>0</v>
      </c>
      <c r="D124" s="1">
        <f>销售与出租收入!G21</f>
        <v>0</v>
      </c>
      <c r="E124" s="1">
        <f>利润与现金流!G19</f>
        <v>0</v>
      </c>
      <c r="F124" s="1">
        <f>融资与还本付息!G18</f>
        <v>1071</v>
      </c>
      <c r="G124" s="1">
        <f>利润与现金流!G49</f>
        <v>-60920</v>
      </c>
      <c r="H124" s="1">
        <f>利润与现金流!G51</f>
        <v>-53451.028806584356</v>
      </c>
    </row>
    <row r="125" spans="1:8" ht="21" customHeight="1">
      <c r="A125" s="12">
        <f>核心参数输入!H87</f>
        <v>4</v>
      </c>
      <c r="B125" s="1">
        <f>销售与出租收入!H13</f>
        <v>14478.75</v>
      </c>
      <c r="C125" s="1">
        <f>销售与出租收入!H20</f>
        <v>696.55949999999984</v>
      </c>
      <c r="D125" s="1">
        <f>销售与出租收入!H21</f>
        <v>34.827974999999995</v>
      </c>
      <c r="E125" s="1">
        <f>利润与现金流!H19</f>
        <v>12887.337359625</v>
      </c>
      <c r="F125" s="1">
        <f>融资与还本付息!H18</f>
        <v>5455.7142857142853</v>
      </c>
      <c r="G125" s="1">
        <f>利润与现金流!H49</f>
        <v>-48909.858265374998</v>
      </c>
      <c r="H125" s="1">
        <f>利润与现金流!H51</f>
        <v>-44623.216095318407</v>
      </c>
    </row>
    <row r="126" spans="1:8" ht="21" customHeight="1">
      <c r="A126" s="12">
        <f>核心参数输入!I87</f>
        <v>5</v>
      </c>
      <c r="B126" s="1">
        <f>销售与出租收入!I13</f>
        <v>19305</v>
      </c>
      <c r="C126" s="1">
        <f>销售与出租收入!I20</f>
        <v>1225.4803469999997</v>
      </c>
      <c r="D126" s="1">
        <f>销售与出租收入!I21</f>
        <v>61.274017349999987</v>
      </c>
      <c r="E126" s="1">
        <f>利润与现金流!I19</f>
        <v>17282.645809075249</v>
      </c>
      <c r="F126" s="1">
        <f>融资与还本付息!I18</f>
        <v>5275.7142857142853</v>
      </c>
      <c r="G126" s="1">
        <f>利润与现金流!I49</f>
        <v>-31985.395581299748</v>
      </c>
      <c r="H126" s="1">
        <f>利润与现金流!I51</f>
        <v>-33104.711173712021</v>
      </c>
    </row>
    <row r="127" spans="1:8" ht="21" customHeight="1">
      <c r="A127" s="12">
        <f>核心参数输入!J87</f>
        <v>6</v>
      </c>
      <c r="B127" s="1">
        <f>销售与出租收入!J13</f>
        <v>14478.75</v>
      </c>
      <c r="C127" s="1">
        <f>销售与出租收入!J20</f>
        <v>1554.8281902562494</v>
      </c>
      <c r="D127" s="1">
        <f>销售与出租收入!J21</f>
        <v>77.741409512812481</v>
      </c>
      <c r="E127" s="1">
        <f>利润与现金流!J19</f>
        <v>13342.474366357974</v>
      </c>
      <c r="F127" s="1">
        <f>融资与还本付息!J18</f>
        <v>5095.7142857142853</v>
      </c>
      <c r="G127" s="1">
        <f>利润与现金流!J49</f>
        <v>-18930.116839941773</v>
      </c>
      <c r="H127" s="1">
        <f>利润与现金流!J51</f>
        <v>-24877.671040415538</v>
      </c>
    </row>
    <row r="128" spans="1:8" ht="21" customHeight="1">
      <c r="A128" s="12">
        <f>核心参数输入!K87</f>
        <v>7</v>
      </c>
      <c r="B128" s="1">
        <f>销售与出租收入!K13</f>
        <v>0</v>
      </c>
      <c r="C128" s="1">
        <f>销售与出租收入!K20</f>
        <v>1723.8260543202553</v>
      </c>
      <c r="D128" s="1">
        <f>销售与出租收入!K21</f>
        <v>86.191302716012771</v>
      </c>
      <c r="E128" s="1">
        <f>利润与现金流!K19</f>
        <v>985.85183276973987</v>
      </c>
      <c r="F128" s="1">
        <f>融资与还本付息!K18</f>
        <v>4915.7142857142853</v>
      </c>
      <c r="G128" s="1">
        <f>利润与现金流!K49</f>
        <v>-18002.200465364469</v>
      </c>
      <c r="H128" s="1">
        <f>利润与现金流!K51</f>
        <v>-24336.240748243221</v>
      </c>
    </row>
    <row r="129" spans="1:8" ht="21" customHeight="1">
      <c r="A129" s="12">
        <f>核心参数输入!L87</f>
        <v>8</v>
      </c>
      <c r="B129" s="1">
        <f>销售与出租收入!L13</f>
        <v>0</v>
      </c>
      <c r="C129" s="1">
        <f>销售与出租收入!L20</f>
        <v>1774.3268739397781</v>
      </c>
      <c r="D129" s="1">
        <f>销售与出租收入!L21</f>
        <v>88.716343696988915</v>
      </c>
      <c r="E129" s="1">
        <f>利润与现金流!L19</f>
        <v>1022.9657904621489</v>
      </c>
      <c r="F129" s="1">
        <f>融资与还本付息!L18</f>
        <v>4735.7142857142853</v>
      </c>
      <c r="G129" s="1">
        <f>利润与现金流!L49</f>
        <v>-17046.448622517859</v>
      </c>
      <c r="H129" s="1">
        <f>利润与现金流!L51</f>
        <v>-23819.877766247773</v>
      </c>
    </row>
    <row r="130" spans="1:8" ht="21" customHeight="1">
      <c r="A130" s="12">
        <f>核心参数输入!M87</f>
        <v>9</v>
      </c>
      <c r="B130" s="1">
        <f>销售与出租收入!M13</f>
        <v>0</v>
      </c>
      <c r="C130" s="1">
        <f>销售与出租收入!M20</f>
        <v>1800.9417770488744</v>
      </c>
      <c r="D130" s="1">
        <f>销售与出租收入!M21</f>
        <v>90.047088852443721</v>
      </c>
      <c r="E130" s="1">
        <f>利润与现金流!M19</f>
        <v>1039.3866290790809</v>
      </c>
      <c r="F130" s="1">
        <f>融资与还本付息!M18</f>
        <v>4555.7142857142853</v>
      </c>
      <c r="G130" s="1">
        <f>利润与现金流!M49</f>
        <v>-16078.381150708548</v>
      </c>
      <c r="H130" s="1">
        <f>利润与现金流!M51</f>
        <v>-23335.603013361604</v>
      </c>
    </row>
    <row r="131" spans="1:8" ht="21" customHeight="1">
      <c r="A131" s="12">
        <f>核心参数输入!N87</f>
        <v>10</v>
      </c>
      <c r="B131" s="1">
        <f>销售与出租收入!N13</f>
        <v>0</v>
      </c>
      <c r="C131" s="1">
        <f>销售与出租收入!N20</f>
        <v>1827.9559037046074</v>
      </c>
      <c r="D131" s="1">
        <f>销售与出租收入!N21</f>
        <v>91.397795185230379</v>
      </c>
      <c r="E131" s="1">
        <f>利润与现金流!N19</f>
        <v>1009.7766054828501</v>
      </c>
      <c r="F131" s="1">
        <f>融资与还本付息!N18</f>
        <v>4375.7142857142835</v>
      </c>
      <c r="G131" s="1">
        <f>利润与现金流!N49</f>
        <v>-15097.837670225697</v>
      </c>
      <c r="H131" s="1">
        <f>利润与现金流!N51</f>
        <v>-22881.421658418058</v>
      </c>
    </row>
    <row r="132" spans="1:8" ht="21" customHeight="1">
      <c r="A132" s="12">
        <f>核心参数输入!O87</f>
        <v>11</v>
      </c>
      <c r="B132" s="1">
        <f>销售与出租收入!O13</f>
        <v>0</v>
      </c>
      <c r="C132" s="1">
        <f>销售与出租收入!O20</f>
        <v>1855.3752422601763</v>
      </c>
      <c r="D132" s="1">
        <f>销售与出租收入!O21</f>
        <v>92.768762113008819</v>
      </c>
      <c r="E132" s="1">
        <f>利润与现金流!O19</f>
        <v>999.91491246842088</v>
      </c>
      <c r="F132" s="1">
        <f>融资与还本付息!O18</f>
        <v>0</v>
      </c>
      <c r="G132" s="1">
        <f>利润与现金流!O49</f>
        <v>-14104.655882757277</v>
      </c>
      <c r="H132" s="1">
        <f>利润与现金流!O51</f>
        <v>-22455.463013566503</v>
      </c>
    </row>
    <row r="133" spans="1:8" ht="21" customHeight="1">
      <c r="A133" s="12">
        <f>核心参数输入!P87</f>
        <v>12</v>
      </c>
      <c r="B133" s="1">
        <f>销售与出租收入!P13</f>
        <v>0</v>
      </c>
      <c r="C133" s="1">
        <f>销售与出租收入!P20</f>
        <v>1883.2058708940785</v>
      </c>
      <c r="D133" s="1">
        <f>销售与出租收入!P21</f>
        <v>94.160293544703933</v>
      </c>
      <c r="E133" s="1">
        <f>利润与现金流!P19</f>
        <v>1012.7174554043415</v>
      </c>
      <c r="F133" s="1">
        <f>融资与还本付息!P18</f>
        <v>0</v>
      </c>
      <c r="G133" s="1">
        <f>利润与现金流!P49</f>
        <v>-13098.671552352935</v>
      </c>
      <c r="H133" s="1">
        <f>利润与现金流!P51</f>
        <v>-22055.972794980666</v>
      </c>
    </row>
    <row r="134" spans="1:8" ht="21" customHeight="1">
      <c r="A134" s="12">
        <f>核心参数输入!Q87</f>
        <v>13</v>
      </c>
      <c r="B134" s="1">
        <f>销售与出租收入!Q13</f>
        <v>0</v>
      </c>
      <c r="C134" s="1">
        <f>销售与出租收入!Q20</f>
        <v>1911.4539589574895</v>
      </c>
      <c r="D134" s="1">
        <f>销售与出租收入!Q21</f>
        <v>95.572697947874474</v>
      </c>
      <c r="E134" s="1">
        <f>利润与现金流!Q19</f>
        <v>1025.6861910567789</v>
      </c>
      <c r="F134" s="1">
        <f>融资与还本付息!Q18</f>
        <v>0</v>
      </c>
      <c r="G134" s="1">
        <f>利润与现金流!Q49</f>
        <v>-12079.718486296155</v>
      </c>
      <c r="H134" s="1">
        <f>利润与现金流!Q51</f>
        <v>-21681.305867253199</v>
      </c>
    </row>
    <row r="135" spans="1:8" ht="21" customHeight="1">
      <c r="A135" s="12">
        <f>核心参数输入!R87</f>
        <v>14</v>
      </c>
      <c r="B135" s="1">
        <f>销售与出租收入!R13</f>
        <v>0</v>
      </c>
      <c r="C135" s="1">
        <f>销售与出租收入!R20</f>
        <v>1940.1257683418517</v>
      </c>
      <c r="D135" s="1">
        <f>销售与出租收入!R21</f>
        <v>97.006288417092591</v>
      </c>
      <c r="E135" s="1">
        <f>利润与现金流!R19</f>
        <v>1038.8230954079302</v>
      </c>
      <c r="F135" s="1">
        <f>融资与还本付息!R18</f>
        <v>0</v>
      </c>
      <c r="G135" s="1">
        <f>利润与现金流!R49</f>
        <v>-11047.628515888224</v>
      </c>
      <c r="H135" s="1">
        <f>利润与现金流!R51</f>
        <v>-21329.919441147642</v>
      </c>
    </row>
    <row r="136" spans="1:8" ht="21" customHeight="1">
      <c r="A136" s="12">
        <f>核心参数输入!S87</f>
        <v>15</v>
      </c>
      <c r="B136" s="1">
        <f>销售与出租收入!S13</f>
        <v>0</v>
      </c>
      <c r="C136" s="1">
        <f>销售与出租收入!S20</f>
        <v>1969.227654866979</v>
      </c>
      <c r="D136" s="1">
        <f>销售与出租收入!S21</f>
        <v>98.461382743348963</v>
      </c>
      <c r="E136" s="1">
        <f>利润与现金流!S19</f>
        <v>1052.130163741555</v>
      </c>
      <c r="F136" s="1">
        <f>融资与还本付息!S18</f>
        <v>0</v>
      </c>
      <c r="G136" s="1">
        <f>利润与现金流!S49</f>
        <v>-10002.231477146668</v>
      </c>
      <c r="H136" s="1">
        <f>利润与现金流!S51</f>
        <v>-21000.36669628846</v>
      </c>
    </row>
    <row r="137" spans="1:8" ht="21" customHeight="1">
      <c r="A137" s="12">
        <f>核心参数输入!T87</f>
        <v>16</v>
      </c>
      <c r="B137" s="1">
        <f>销售与出租收入!T13</f>
        <v>0</v>
      </c>
      <c r="C137" s="1">
        <f>销售与出租收入!T20</f>
        <v>1998.7660696899832</v>
      </c>
      <c r="D137" s="1">
        <f>销售与出租收入!T21</f>
        <v>99.938303484499158</v>
      </c>
      <c r="E137" s="1">
        <f>利润与现金流!T19</f>
        <v>1065.6094107257341</v>
      </c>
      <c r="F137" s="1">
        <f>融资与还本付息!T18</f>
        <v>0</v>
      </c>
      <c r="G137" s="1">
        <f>利润与现金流!T49</f>
        <v>-8943.3551914209347</v>
      </c>
      <c r="H137" s="1">
        <f>利润与现金流!T51</f>
        <v>-20691.29080215871</v>
      </c>
    </row>
    <row r="138" spans="1:8" ht="21" customHeight="1">
      <c r="A138" s="12">
        <f>核心参数输入!U87</f>
        <v>17</v>
      </c>
      <c r="B138" s="1">
        <f>销售与出租收入!U13</f>
        <v>0</v>
      </c>
      <c r="C138" s="1">
        <f>销售与出租收入!U20</f>
        <v>2028.7475607353331</v>
      </c>
      <c r="D138" s="1">
        <f>销售与出租收入!U21</f>
        <v>101.43737803676666</v>
      </c>
      <c r="E138" s="1">
        <f>利润与现金流!U19</f>
        <v>1079.2628704927372</v>
      </c>
      <c r="F138" s="1">
        <f>融资与还本付息!U18</f>
        <v>0</v>
      </c>
      <c r="G138" s="1">
        <f>利润与现金流!U49</f>
        <v>-7870.825445928198</v>
      </c>
      <c r="H138" s="1">
        <f>利润与现金流!U51</f>
        <v>-20401.419312450409</v>
      </c>
    </row>
    <row r="139" spans="1:8" ht="21" customHeight="1">
      <c r="A139" s="12">
        <f>核心参数输入!V87</f>
        <v>18</v>
      </c>
      <c r="B139" s="1">
        <f>销售与出租收入!V13</f>
        <v>0</v>
      </c>
      <c r="C139" s="1">
        <f>销售与出租收入!V20</f>
        <v>2059.1787741463627</v>
      </c>
      <c r="D139" s="1">
        <f>销售与出租收入!V21</f>
        <v>102.95893870731814</v>
      </c>
      <c r="E139" s="1">
        <f>利润与现金流!V19</f>
        <v>1093.0925967158673</v>
      </c>
      <c r="F139" s="1">
        <f>融资与还本付息!V18</f>
        <v>0</v>
      </c>
      <c r="G139" s="1">
        <f>利润与现金流!V49</f>
        <v>-6784.4659742123304</v>
      </c>
      <c r="H139" s="1">
        <f>利润与现金流!V51</f>
        <v>-20129.558909382442</v>
      </c>
    </row>
    <row r="140" spans="1:8" ht="21" customHeight="1">
      <c r="A140" s="12">
        <f>核心参数输入!W87</f>
        <v>19</v>
      </c>
      <c r="B140" s="1">
        <f>销售与出租收入!W13</f>
        <v>0</v>
      </c>
      <c r="C140" s="1">
        <f>销售与出租收入!W20</f>
        <v>2090.0664557585574</v>
      </c>
      <c r="D140" s="1">
        <f>销售与出租收入!W21</f>
        <v>104.50332278792787</v>
      </c>
      <c r="E140" s="1">
        <f>利润与现金流!W19</f>
        <v>1107.1006626831595</v>
      </c>
      <c r="F140" s="1">
        <f>融资与还本付息!W18</f>
        <v>0</v>
      </c>
      <c r="G140" s="1">
        <f>利润与现金流!W49</f>
        <v>-5684.0984365291715</v>
      </c>
      <c r="H140" s="1">
        <f>利润与现金流!W51</f>
        <v>-19874.590476071262</v>
      </c>
    </row>
    <row r="141" spans="1:8" ht="21" customHeight="1">
      <c r="A141" s="12">
        <f>核心参数输入!X87</f>
        <v>20</v>
      </c>
      <c r="B141" s="1">
        <f>销售与出租收入!X13</f>
        <v>0</v>
      </c>
      <c r="C141" s="1">
        <f>销售与出租收入!X20</f>
        <v>2121.4174525949356</v>
      </c>
      <c r="D141" s="1">
        <f>销售与出租收入!X21</f>
        <v>106.07087262974679</v>
      </c>
      <c r="E141" s="1">
        <f>利润与现金流!X19</f>
        <v>1121.2891613677918</v>
      </c>
      <c r="F141" s="1">
        <f>融资与还本付息!X18</f>
        <v>0</v>
      </c>
      <c r="G141" s="1">
        <f>利润与现金流!X49</f>
        <v>-4069.5424001613796</v>
      </c>
      <c r="H141" s="1">
        <f>利润与现金流!X51</f>
        <v>-19528.190372715155</v>
      </c>
    </row>
    <row r="142" spans="1:8" ht="21" customHeight="1">
      <c r="A142" s="12">
        <f>核心参数输入!Y87</f>
        <v>21</v>
      </c>
      <c r="B142" s="1">
        <f>销售与出租收入!Y13</f>
        <v>0</v>
      </c>
      <c r="C142" s="1">
        <f>销售与出租收入!Y20</f>
        <v>0</v>
      </c>
      <c r="D142" s="1">
        <f>销售与出租收入!Y21</f>
        <v>0</v>
      </c>
      <c r="E142" s="1">
        <f>利润与现金流!Y19</f>
        <v>0</v>
      </c>
      <c r="F142" s="1">
        <f>融资与还本付息!Y18</f>
        <v>0</v>
      </c>
      <c r="G142" s="1">
        <f>利润与现金流!Y49</f>
        <v>0</v>
      </c>
      <c r="H142" s="1">
        <f>利润与现金流!Y51</f>
        <v>0</v>
      </c>
    </row>
    <row r="143" spans="1:8" ht="21" customHeight="1">
      <c r="A143" s="12">
        <f>核心参数输入!Z87</f>
        <v>22</v>
      </c>
      <c r="B143" s="1">
        <f>销售与出租收入!Z13</f>
        <v>0</v>
      </c>
      <c r="C143" s="1">
        <f>销售与出租收入!Z20</f>
        <v>0</v>
      </c>
      <c r="D143" s="1">
        <f>销售与出租收入!Z21</f>
        <v>0</v>
      </c>
      <c r="E143" s="1">
        <f>利润与现金流!Z19</f>
        <v>0</v>
      </c>
      <c r="F143" s="1">
        <f>融资与还本付息!Z18</f>
        <v>0</v>
      </c>
      <c r="G143" s="1">
        <f>利润与现金流!Z49</f>
        <v>0</v>
      </c>
      <c r="H143" s="1">
        <f>利润与现金流!Z51</f>
        <v>0</v>
      </c>
    </row>
    <row r="144" spans="1:8" ht="21" customHeight="1">
      <c r="A144" s="12">
        <f>核心参数输入!AA87</f>
        <v>23</v>
      </c>
      <c r="B144" s="1">
        <f>销售与出租收入!AA13</f>
        <v>0</v>
      </c>
      <c r="C144" s="1">
        <f>销售与出租收入!AA20</f>
        <v>0</v>
      </c>
      <c r="D144" s="1">
        <f>销售与出租收入!AA21</f>
        <v>0</v>
      </c>
      <c r="E144" s="1">
        <f>利润与现金流!AA19</f>
        <v>0</v>
      </c>
      <c r="F144" s="1">
        <f>融资与还本付息!AA18</f>
        <v>0</v>
      </c>
      <c r="G144" s="1">
        <f>利润与现金流!AA49</f>
        <v>0</v>
      </c>
      <c r="H144" s="1">
        <f>利润与现金流!AA51</f>
        <v>0</v>
      </c>
    </row>
    <row r="145" spans="1:8" ht="21" customHeight="1">
      <c r="A145" s="12">
        <f>核心参数输入!AB87</f>
        <v>24</v>
      </c>
      <c r="B145" s="1">
        <f>销售与出租收入!AB13</f>
        <v>0</v>
      </c>
      <c r="C145" s="1">
        <f>销售与出租收入!AB20</f>
        <v>0</v>
      </c>
      <c r="D145" s="1">
        <f>销售与出租收入!AB21</f>
        <v>0</v>
      </c>
      <c r="E145" s="1">
        <f>利润与现金流!AB19</f>
        <v>0</v>
      </c>
      <c r="F145" s="1">
        <f>融资与还本付息!AB18</f>
        <v>0</v>
      </c>
      <c r="G145" s="1">
        <f>利润与现金流!AB49</f>
        <v>0</v>
      </c>
      <c r="H145" s="1">
        <f>利润与现金流!AB51</f>
        <v>0</v>
      </c>
    </row>
    <row r="146" spans="1:8" ht="21" customHeight="1">
      <c r="A146" s="12">
        <f>核心参数输入!AC87</f>
        <v>25</v>
      </c>
      <c r="B146" s="1">
        <f>销售与出租收入!AC13</f>
        <v>0</v>
      </c>
      <c r="C146" s="1">
        <f>销售与出租收入!AC20</f>
        <v>0</v>
      </c>
      <c r="D146" s="1">
        <f>销售与出租收入!AC21</f>
        <v>0</v>
      </c>
      <c r="E146" s="1">
        <f>利润与现金流!AC19</f>
        <v>0</v>
      </c>
      <c r="F146" s="1">
        <f>融资与还本付息!AC18</f>
        <v>0</v>
      </c>
      <c r="G146" s="1">
        <f>利润与现金流!AC49</f>
        <v>0</v>
      </c>
      <c r="H146" s="1">
        <f>利润与现金流!AC51</f>
        <v>0</v>
      </c>
    </row>
    <row r="147" spans="1:8" ht="21" customHeight="1">
      <c r="A147" s="12">
        <f>核心参数输入!AD87</f>
        <v>26</v>
      </c>
      <c r="B147" s="1">
        <f>销售与出租收入!AD13</f>
        <v>0</v>
      </c>
      <c r="C147" s="1">
        <f>销售与出租收入!AD20</f>
        <v>0</v>
      </c>
      <c r="D147" s="1">
        <f>销售与出租收入!AD21</f>
        <v>0</v>
      </c>
      <c r="E147" s="1">
        <f>利润与现金流!AD19</f>
        <v>0</v>
      </c>
      <c r="F147" s="1">
        <f>融资与还本付息!AD18</f>
        <v>0</v>
      </c>
      <c r="G147" s="1">
        <f>利润与现金流!AD49</f>
        <v>0</v>
      </c>
      <c r="H147" s="1">
        <f>利润与现金流!AD51</f>
        <v>0</v>
      </c>
    </row>
    <row r="148" spans="1:8" ht="21" customHeight="1">
      <c r="A148" s="12">
        <f>核心参数输入!AE87</f>
        <v>27</v>
      </c>
      <c r="B148" s="1">
        <f>销售与出租收入!AE13</f>
        <v>0</v>
      </c>
      <c r="C148" s="1">
        <f>销售与出租收入!AE20</f>
        <v>0</v>
      </c>
      <c r="D148" s="1">
        <f>销售与出租收入!AE21</f>
        <v>0</v>
      </c>
      <c r="E148" s="1">
        <f>利润与现金流!AE19</f>
        <v>0</v>
      </c>
      <c r="F148" s="1">
        <f>融资与还本付息!AE18</f>
        <v>0</v>
      </c>
      <c r="G148" s="1">
        <f>利润与现金流!AE49</f>
        <v>0</v>
      </c>
      <c r="H148" s="1">
        <f>利润与现金流!AE51</f>
        <v>0</v>
      </c>
    </row>
    <row r="149" spans="1:8" ht="21" customHeight="1">
      <c r="A149" s="12">
        <f>核心参数输入!AF87</f>
        <v>28</v>
      </c>
      <c r="B149" s="1">
        <f>销售与出租收入!AF13</f>
        <v>0</v>
      </c>
      <c r="C149" s="1">
        <f>销售与出租收入!AF20</f>
        <v>0</v>
      </c>
      <c r="D149" s="1">
        <f>销售与出租收入!AF21</f>
        <v>0</v>
      </c>
      <c r="E149" s="1">
        <f>利润与现金流!AF19</f>
        <v>0</v>
      </c>
      <c r="F149" s="1">
        <f>融资与还本付息!AF18</f>
        <v>0</v>
      </c>
      <c r="G149" s="1">
        <f>利润与现金流!AF49</f>
        <v>0</v>
      </c>
      <c r="H149" s="1">
        <f>利润与现金流!AF51</f>
        <v>0</v>
      </c>
    </row>
    <row r="150" spans="1:8" ht="21" customHeight="1">
      <c r="A150" s="12">
        <f>核心参数输入!AG87</f>
        <v>29</v>
      </c>
      <c r="B150" s="1">
        <f>销售与出租收入!AG13</f>
        <v>0</v>
      </c>
      <c r="C150" s="1">
        <f>销售与出租收入!AG20</f>
        <v>0</v>
      </c>
      <c r="D150" s="1">
        <f>销售与出租收入!AG21</f>
        <v>0</v>
      </c>
      <c r="E150" s="1">
        <f>利润与现金流!AG19</f>
        <v>0</v>
      </c>
      <c r="F150" s="1">
        <f>融资与还本付息!AG18</f>
        <v>0</v>
      </c>
      <c r="G150" s="1">
        <f>利润与现金流!AG49</f>
        <v>0</v>
      </c>
      <c r="H150" s="1">
        <f>利润与现金流!AG51</f>
        <v>0</v>
      </c>
    </row>
    <row r="151" spans="1:8" ht="21" customHeight="1">
      <c r="A151" s="12">
        <f>核心参数输入!AH87</f>
        <v>30</v>
      </c>
      <c r="B151" s="1">
        <f>销售与出租收入!AH13</f>
        <v>0</v>
      </c>
      <c r="C151" s="1">
        <f>销售与出租收入!AH20</f>
        <v>0</v>
      </c>
      <c r="D151" s="1">
        <f>销售与出租收入!AH21</f>
        <v>0</v>
      </c>
      <c r="E151" s="1">
        <f>利润与现金流!AH19</f>
        <v>0</v>
      </c>
      <c r="F151" s="1">
        <f>融资与还本付息!AH18</f>
        <v>0</v>
      </c>
      <c r="G151" s="1">
        <f>利润与现金流!AH49</f>
        <v>0</v>
      </c>
      <c r="H151" s="1">
        <f>利润与现金流!AH51</f>
        <v>0</v>
      </c>
    </row>
  </sheetData>
  <mergeCells count="47">
    <mergeCell ref="A5:G6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A15:G16"/>
    <mergeCell ref="A30:G31"/>
    <mergeCell ref="A33:G33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A66:G66"/>
    <mergeCell ref="B60:C60"/>
    <mergeCell ref="B61:C61"/>
    <mergeCell ref="B62:C62"/>
    <mergeCell ref="B63:C63"/>
    <mergeCell ref="B64:C64"/>
  </mergeCells>
  <phoneticPr fontId="7" type="noConversion"/>
  <conditionalFormatting sqref="A5:G6">
    <cfRule type="beginsWith" dxfId="15" priority="1" operator="beginsWith" text="通过">
      <formula>LEFT(A5,2)="通过"</formula>
    </cfRule>
    <cfRule type="beginsWith" dxfId="14" priority="2" operator="beginsWith" text="未通过">
      <formula>LEFT(A5,3)="未通过"</formula>
    </cfRule>
    <cfRule type="beginsWith" dxfId="13" priority="3" operator="beginsWith" text="不适用">
      <formula>LEFT(A5,3)="不适用"</formula>
    </cfRule>
    <cfRule type="beginsWith" dxfId="12" priority="4" operator="beginsWith" text="待判断">
      <formula>LEFT(A5,3)="待判断"</formula>
    </cfRule>
  </conditionalFormatting>
  <conditionalFormatting sqref="D19:D28">
    <cfRule type="beginsWith" dxfId="11" priority="5" operator="beginsWith" text="通过">
      <formula>LEFT(D19,2)="通过"</formula>
    </cfRule>
    <cfRule type="beginsWith" dxfId="10" priority="6" operator="beginsWith" text="未通过">
      <formula>LEFT(D19,3)="未通过"</formula>
    </cfRule>
    <cfRule type="beginsWith" dxfId="9" priority="7" operator="beginsWith" text="不适用">
      <formula>LEFT(D19,3)="不适用"</formula>
    </cfRule>
    <cfRule type="beginsWith" dxfId="8" priority="8" operator="beginsWith" text="待判断">
      <formula>LEFT(D19,3)="待判断"</formula>
    </cfRule>
  </conditionalFormatting>
  <conditionalFormatting sqref="D35:D64">
    <cfRule type="beginsWith" dxfId="7" priority="13" operator="beginsWith" text="通过">
      <formula>LEFT(D35,2)="通过"</formula>
    </cfRule>
    <cfRule type="beginsWith" dxfId="6" priority="14" operator="beginsWith" text="未通过">
      <formula>LEFT(D35,3)="未通过"</formula>
    </cfRule>
    <cfRule type="beginsWith" dxfId="5" priority="15" operator="beginsWith" text="不适用">
      <formula>LEFT(D35,3)="不适用"</formula>
    </cfRule>
    <cfRule type="beginsWith" dxfId="4" priority="16" operator="beginsWith" text="待判断">
      <formula>LEFT(D35,3)="待判断"</formula>
    </cfRule>
  </conditionalFormatting>
  <conditionalFormatting sqref="F19:F28">
    <cfRule type="beginsWith" dxfId="3" priority="9" operator="beginsWith" text="通过">
      <formula>LEFT(F19,2)="通过"</formula>
    </cfRule>
    <cfRule type="beginsWith" dxfId="2" priority="10" operator="beginsWith" text="未通过">
      <formula>LEFT(F19,3)="未通过"</formula>
    </cfRule>
    <cfRule type="beginsWith" dxfId="1" priority="11" operator="beginsWith" text="不适用">
      <formula>LEFT(F19,3)="不适用"</formula>
    </cfRule>
    <cfRule type="beginsWith" dxfId="0" priority="12" operator="beginsWith" text="待判断">
      <formula>LEFT(F19,3)="待判断"</formula>
    </cfRule>
  </conditionalFormatting>
  <pageMargins left="0.25" right="0.25" top="0.4" bottom="0.4" header="0.3" footer="0.3"/>
  <pageSetup paperSize="9" scale="72" fitToHeight="0" orientation="landscape" r:id="rId1"/>
  <headerFooter>
    <oddFooter>&amp;L模拟数据 · 学习用途&amp;C&amp;P / &amp;N</oddFooter>
  </headerFooter>
  <rowBreaks count="4" manualBreakCount="4">
    <brk id="33" max="16383" man="1"/>
    <brk id="66" max="16383" man="1"/>
    <brk id="83" max="16383" man="1"/>
    <brk id="100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16</vt:i4>
      </vt:variant>
    </vt:vector>
  </HeadingPairs>
  <TitlesOfParts>
    <vt:vector size="26" baseType="lpstr">
      <vt:lpstr>使用说明</vt:lpstr>
      <vt:lpstr>核心参数输入</vt:lpstr>
      <vt:lpstr>建筑面积与开发计划</vt:lpstr>
      <vt:lpstr>投资与资金安排</vt:lpstr>
      <vt:lpstr>销售与出租收入</vt:lpstr>
      <vt:lpstr>运营成本与税费</vt:lpstr>
      <vt:lpstr>融资与还本付息</vt:lpstr>
      <vt:lpstr>利润与现金流</vt:lpstr>
      <vt:lpstr>指标与情景测算</vt:lpstr>
      <vt:lpstr>决策看板</vt:lpstr>
      <vt:lpstr>核心参数输入!Print_Area</vt:lpstr>
      <vt:lpstr>建筑面积与开发计划!Print_Area</vt:lpstr>
      <vt:lpstr>决策看板!Print_Area</vt:lpstr>
      <vt:lpstr>利润与现金流!Print_Area</vt:lpstr>
      <vt:lpstr>融资与还本付息!Print_Area</vt:lpstr>
      <vt:lpstr>使用说明!Print_Area</vt:lpstr>
      <vt:lpstr>投资与资金安排!Print_Area</vt:lpstr>
      <vt:lpstr>销售与出租收入!Print_Area</vt:lpstr>
      <vt:lpstr>运营成本与税费!Print_Area</vt:lpstr>
      <vt:lpstr>指标与情景测算!Print_Area</vt:lpstr>
      <vt:lpstr>建筑面积与开发计划!Print_Titles</vt:lpstr>
      <vt:lpstr>利润与现金流!Print_Titles</vt:lpstr>
      <vt:lpstr>融资与还本付息!Print_Titles</vt:lpstr>
      <vt:lpstr>投资与资金安排!Print_Titles</vt:lpstr>
      <vt:lpstr>销售与出租收入!Print_Titles</vt:lpstr>
      <vt:lpstr>运营成本与税费!Print_Titles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产业园投资测算（模拟数据）</dc:title>
  <dc:creator>模拟学习模型</dc:creator>
  <dc:description>Annual mixed-sale-and-rental financial model</dc:description>
  <cp:lastModifiedBy>BEN HO</cp:lastModifiedBy>
  <cp:lastPrinted>2026-10-11T15:17:06Z</cp:lastPrinted>
  <dcterms:created xsi:type="dcterms:W3CDTF">2026-10-11T15:15:50Z</dcterms:created>
  <dcterms:modified xsi:type="dcterms:W3CDTF">2026-10-11T15:17:08Z</dcterms:modified>
</cp:coreProperties>
</file>