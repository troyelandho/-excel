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补充验证\"/>
    </mc:Choice>
  </mc:AlternateContent>
  <xr:revisionPtr revIDLastSave="0" documentId="13_ncr:1_{D09AE9D8-F0C4-443C-ABE2-39429E66986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<sst xmlns="http://schemas.openxmlformats.org/spreadsheetml/2006/main" count="1032" uniqueCount="499">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</sst>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459</v>
      </c>
      <c r="B5" s="14" t="s">
        <v>460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461</v>
      </c>
      <c r="B9" s="14" t="s">
        <v>462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463</v>
      </c>
      <c r="B13" s="14" t="s">
        <v>464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465</v>
      </c>
      <c r="B17" s="14" t="s">
        <v>466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467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468</v>
      </c>
      <c r="B25" s="14" t="s">
        <v>469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470</v>
      </c>
      <c r="B29" s="14" t="s">
        <v>471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472</v>
      </c>
      <c r="B33" s="14" t="s">
        <v>473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474</v>
      </c>
      <c r="B37" s="14" t="s">
        <v>475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476</v>
      </c>
      <c r="B41" s="14" t="s">
        <v>477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478</v>
      </c>
      <c r="B45" s="14" t="s">
        <v>479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480</v>
      </c>
      <c r="B49" s="14" t="s">
        <v>481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482</v>
      </c>
      <c r="B53" s="14" t="s">
        <v>483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484</v>
      </c>
      <c r="B57" s="14" t="s">
        <v>485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486</v>
      </c>
      <c r="B61" s="14" t="s">
        <v>487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488</v>
      </c>
      <c r="B65" s="14" t="s">
        <v>489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490</v>
      </c>
      <c r="B69" s="14" t="s">
        <v>491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492</v>
      </c>
      <c r="B73" s="14" t="s">
        <v>493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494</v>
      </c>
      <c r="B77" s="14" t="s">
        <v>495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496</v>
      </c>
      <c r="B81" s="14" t="s">
        <v>497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6" t="s">
        <v>13</v>
      </c>
      <c r="E5" s="16"/>
      <c r="F5" s="16"/>
      <c r="G5" s="16"/>
      <c r="H5" s="16"/>
      <c r="I5" s="16"/>
      <c r="J5" s="16"/>
      <c r="K5" s="16"/>
    </row>
    <row r="6" spans="1:11" ht="21" customHeight="1">
      <c r="A6" s="15" t="s">
        <v>14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0" customHeight="1">
      <c r="A7" t="s">
        <v>15</v>
      </c>
      <c r="B7" s="6" t="s">
        <v>498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18</v>
      </c>
      <c r="B8" s="7">
        <v>2026</v>
      </c>
      <c r="C8" t="s">
        <v>19</v>
      </c>
      <c r="D8" s="14" t="s">
        <v>20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21</v>
      </c>
      <c r="B9" s="7">
        <v>20</v>
      </c>
      <c r="C9" t="s">
        <v>19</v>
      </c>
      <c r="D9" s="14" t="s">
        <v>22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23</v>
      </c>
      <c r="B10" s="8">
        <v>100000</v>
      </c>
      <c r="C10" t="s">
        <v>24</v>
      </c>
      <c r="D10" s="14" t="s">
        <v>25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26</v>
      </c>
      <c r="B11" s="8">
        <v>1.5</v>
      </c>
      <c r="C11" t="s">
        <v>27</v>
      </c>
      <c r="D11" s="14" t="s">
        <v>28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29</v>
      </c>
      <c r="B12" s="9">
        <v>0.9</v>
      </c>
      <c r="C12" t="s">
        <v>30</v>
      </c>
      <c r="D12" s="14" t="s">
        <v>31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32</v>
      </c>
      <c r="B13" s="8">
        <v>15000</v>
      </c>
      <c r="C13" t="s">
        <v>24</v>
      </c>
      <c r="D13" s="14" t="s">
        <v>33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34</v>
      </c>
      <c r="B14" s="9">
        <v>0.55000000000000004</v>
      </c>
      <c r="C14" t="s">
        <v>30</v>
      </c>
      <c r="D14" s="14" t="s">
        <v>35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36</v>
      </c>
      <c r="B15" s="10">
        <f>1-核心参数输入!$B$14</f>
        <v>0.44999999999999996</v>
      </c>
      <c r="C15" t="s">
        <v>30</v>
      </c>
      <c r="D15" s="14" t="s">
        <v>37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38</v>
      </c>
      <c r="B16" s="7">
        <v>3</v>
      </c>
      <c r="C16" t="s">
        <v>19</v>
      </c>
      <c r="D16" s="14" t="s">
        <v>39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40</v>
      </c>
      <c r="B17" s="7">
        <v>4</v>
      </c>
      <c r="C17" t="s">
        <v>41</v>
      </c>
      <c r="D17" s="14" t="s">
        <v>42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43</v>
      </c>
      <c r="B18" s="7">
        <v>4</v>
      </c>
      <c r="C18" t="s">
        <v>41</v>
      </c>
      <c r="D18" s="14" t="s">
        <v>44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5" t="s">
        <v>45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30" customHeight="1">
      <c r="A21" t="s">
        <v>46</v>
      </c>
      <c r="B21" s="8">
        <v>800</v>
      </c>
      <c r="C21" t="s">
        <v>47</v>
      </c>
      <c r="D21" s="14" t="s">
        <v>48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49</v>
      </c>
      <c r="B22" s="8">
        <v>2400</v>
      </c>
      <c r="C22" t="s">
        <v>47</v>
      </c>
      <c r="D22" s="14" t="s">
        <v>50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51</v>
      </c>
      <c r="B23" s="8">
        <v>3000</v>
      </c>
      <c r="C23" t="s">
        <v>47</v>
      </c>
      <c r="D23" s="14" t="s">
        <v>52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53</v>
      </c>
      <c r="B24" s="8">
        <v>4500</v>
      </c>
      <c r="C24" t="s">
        <v>54</v>
      </c>
      <c r="D24" s="14" t="s">
        <v>55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56</v>
      </c>
      <c r="B25" s="8">
        <v>1800</v>
      </c>
      <c r="C25" t="s">
        <v>54</v>
      </c>
      <c r="D25" s="14" t="s">
        <v>57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58</v>
      </c>
      <c r="B26" s="8">
        <v>2200</v>
      </c>
      <c r="C26" t="s">
        <v>54</v>
      </c>
      <c r="D26" s="14" t="s">
        <v>59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60</v>
      </c>
      <c r="B27" s="9">
        <v>0.08</v>
      </c>
      <c r="C27" t="s">
        <v>30</v>
      </c>
      <c r="D27" s="14" t="s">
        <v>61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62</v>
      </c>
      <c r="B28" s="8">
        <v>500</v>
      </c>
      <c r="C28" t="s">
        <v>54</v>
      </c>
      <c r="D28" s="14" t="s">
        <v>63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5" t="s">
        <v>64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30" customHeight="1">
      <c r="A31" t="s">
        <v>65</v>
      </c>
      <c r="B31" s="8">
        <v>6500</v>
      </c>
      <c r="C31" t="s">
        <v>47</v>
      </c>
      <c r="D31" s="14" t="s">
        <v>66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67</v>
      </c>
      <c r="B32" s="9">
        <v>2.5000000000000001E-2</v>
      </c>
      <c r="C32" t="s">
        <v>30</v>
      </c>
      <c r="D32" s="14" t="s">
        <v>68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69</v>
      </c>
      <c r="B33" s="9">
        <v>0.08</v>
      </c>
      <c r="C33" t="s">
        <v>30</v>
      </c>
      <c r="D33" s="14" t="s">
        <v>70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5" t="s">
        <v>71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30" customHeight="1">
      <c r="A36" t="s">
        <v>72</v>
      </c>
      <c r="B36" s="8">
        <v>26</v>
      </c>
      <c r="C36" t="s">
        <v>73</v>
      </c>
      <c r="D36" s="14" t="s">
        <v>74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75</v>
      </c>
      <c r="B37" s="9">
        <v>1.4999999999999999E-2</v>
      </c>
      <c r="C37" t="s">
        <v>30</v>
      </c>
      <c r="D37" s="14" t="s">
        <v>76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77</v>
      </c>
      <c r="B38" s="9">
        <v>0.5</v>
      </c>
      <c r="C38" t="s">
        <v>30</v>
      </c>
      <c r="D38" s="14" t="s">
        <v>78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79</v>
      </c>
      <c r="B39" s="9">
        <v>0.7</v>
      </c>
      <c r="C39" t="s">
        <v>30</v>
      </c>
      <c r="D39" s="14" t="s">
        <v>80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81</v>
      </c>
      <c r="B40" s="9">
        <v>0.85</v>
      </c>
      <c r="C40" t="s">
        <v>30</v>
      </c>
      <c r="D40" s="14" t="s">
        <v>82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83</v>
      </c>
      <c r="B41" s="9">
        <v>0.9</v>
      </c>
      <c r="C41" t="s">
        <v>30</v>
      </c>
      <c r="D41" s="14" t="s">
        <v>84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85</v>
      </c>
      <c r="B42" s="7">
        <v>3</v>
      </c>
      <c r="C42" t="s">
        <v>86</v>
      </c>
      <c r="D42" s="14" t="s">
        <v>87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88</v>
      </c>
      <c r="B43" s="9">
        <v>0.98</v>
      </c>
      <c r="C43" t="s">
        <v>30</v>
      </c>
      <c r="D43" s="14" t="s">
        <v>89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90</v>
      </c>
      <c r="B44" s="9">
        <v>0.05</v>
      </c>
      <c r="C44" t="s">
        <v>30</v>
      </c>
      <c r="D44" s="14" t="s">
        <v>91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5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30" customHeight="1">
      <c r="A47" t="s">
        <v>93</v>
      </c>
      <c r="B47" s="8">
        <v>300</v>
      </c>
      <c r="C47" t="s">
        <v>94</v>
      </c>
      <c r="D47" s="14" t="s">
        <v>95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96</v>
      </c>
      <c r="B48" s="9">
        <v>0.02</v>
      </c>
      <c r="C48" t="s">
        <v>30</v>
      </c>
      <c r="D48" s="14" t="s">
        <v>97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98</v>
      </c>
      <c r="B49" s="9">
        <v>0.12</v>
      </c>
      <c r="C49" t="s">
        <v>30</v>
      </c>
      <c r="D49" s="14" t="s">
        <v>99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100</v>
      </c>
      <c r="B50" s="8">
        <v>180</v>
      </c>
      <c r="C50" t="s">
        <v>94</v>
      </c>
      <c r="D50" s="14" t="s">
        <v>101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102</v>
      </c>
      <c r="B51" s="9">
        <v>0.06</v>
      </c>
      <c r="C51" t="s">
        <v>30</v>
      </c>
      <c r="D51" s="14" t="s">
        <v>103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104</v>
      </c>
      <c r="B52" s="9">
        <v>0.25</v>
      </c>
      <c r="C52" t="s">
        <v>30</v>
      </c>
      <c r="D52" s="14" t="s">
        <v>105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106</v>
      </c>
      <c r="B53" s="7">
        <v>30</v>
      </c>
      <c r="C53" t="s">
        <v>19</v>
      </c>
      <c r="D53" s="14" t="s">
        <v>107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108</v>
      </c>
      <c r="B54" s="9">
        <v>0.05</v>
      </c>
      <c r="C54" t="s">
        <v>30</v>
      </c>
      <c r="D54" s="14" t="s">
        <v>109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5" t="s">
        <v>110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30" customHeight="1">
      <c r="A57" t="s">
        <v>111</v>
      </c>
      <c r="B57" s="8">
        <v>30000</v>
      </c>
      <c r="C57" t="s">
        <v>54</v>
      </c>
      <c r="D57" s="14" t="s">
        <v>112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113</v>
      </c>
      <c r="B58" s="9">
        <v>4.2000000000000003E-2</v>
      </c>
      <c r="C58" t="s">
        <v>30</v>
      </c>
      <c r="D58" s="14" t="s">
        <v>114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115</v>
      </c>
      <c r="B59" s="7">
        <v>10</v>
      </c>
      <c r="C59" t="s">
        <v>19</v>
      </c>
      <c r="D59" s="14" t="s">
        <v>116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117</v>
      </c>
      <c r="B60" s="7">
        <v>4</v>
      </c>
      <c r="C60" t="s">
        <v>41</v>
      </c>
      <c r="D60" s="14" t="s">
        <v>118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119</v>
      </c>
      <c r="B61" s="8">
        <v>33000</v>
      </c>
      <c r="C61" t="s">
        <v>54</v>
      </c>
      <c r="D61" s="14" t="s">
        <v>120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5" t="s">
        <v>121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30" customHeight="1">
      <c r="A64" t="s">
        <v>122</v>
      </c>
      <c r="B64" s="7">
        <v>0</v>
      </c>
      <c r="C64" t="s">
        <v>123</v>
      </c>
      <c r="D64" s="14" t="s">
        <v>124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125</v>
      </c>
      <c r="B65" s="8">
        <v>30000</v>
      </c>
      <c r="C65" t="s">
        <v>54</v>
      </c>
      <c r="D65" s="14" t="s">
        <v>126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127</v>
      </c>
      <c r="B66" s="9">
        <v>0.03</v>
      </c>
      <c r="C66" t="s">
        <v>30</v>
      </c>
      <c r="D66" s="14" t="s">
        <v>128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5" t="s">
        <v>129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30" customHeight="1">
      <c r="A69" t="s">
        <v>130</v>
      </c>
      <c r="B69" s="9">
        <v>0.08</v>
      </c>
      <c r="C69" t="s">
        <v>30</v>
      </c>
      <c r="D69" s="14" t="s">
        <v>131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132</v>
      </c>
      <c r="B70" s="9">
        <v>0.1</v>
      </c>
      <c r="C70" t="s">
        <v>30</v>
      </c>
      <c r="D70" s="14" t="s">
        <v>133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134</v>
      </c>
      <c r="B71" s="9">
        <v>0.08</v>
      </c>
      <c r="C71" t="s">
        <v>30</v>
      </c>
      <c r="D71" s="14" t="s">
        <v>135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136</v>
      </c>
      <c r="B72" s="9">
        <v>0.1</v>
      </c>
      <c r="C72" t="s">
        <v>30</v>
      </c>
      <c r="D72" s="14" t="s">
        <v>137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138</v>
      </c>
      <c r="B73" s="8">
        <v>15</v>
      </c>
      <c r="C73" t="s">
        <v>19</v>
      </c>
      <c r="D73" s="14" t="s">
        <v>139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140</v>
      </c>
      <c r="B74" s="8">
        <v>20</v>
      </c>
      <c r="C74" t="s">
        <v>19</v>
      </c>
      <c r="D74" s="14" t="s">
        <v>141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142</v>
      </c>
      <c r="B75" s="8">
        <v>1.2</v>
      </c>
      <c r="C75" t="s">
        <v>27</v>
      </c>
      <c r="D75" s="14" t="s">
        <v>143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5" t="s">
        <v>144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30" customHeight="1">
      <c r="A78" t="s">
        <v>145</v>
      </c>
      <c r="B78" s="9">
        <v>0.1</v>
      </c>
      <c r="C78" t="s">
        <v>30</v>
      </c>
      <c r="D78" s="14" t="s">
        <v>146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147</v>
      </c>
      <c r="B79" s="9">
        <v>0.1</v>
      </c>
      <c r="C79" t="s">
        <v>30</v>
      </c>
      <c r="D79" s="14" t="s">
        <v>148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149</v>
      </c>
      <c r="B80" s="8">
        <v>10</v>
      </c>
      <c r="C80" t="s">
        <v>150</v>
      </c>
      <c r="D80" s="14" t="s">
        <v>151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152</v>
      </c>
      <c r="B81" s="9">
        <v>0.1</v>
      </c>
      <c r="C81" t="s">
        <v>30</v>
      </c>
      <c r="D81" s="14" t="s">
        <v>153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154</v>
      </c>
      <c r="B82" s="7">
        <v>0</v>
      </c>
      <c r="C82" t="s">
        <v>155</v>
      </c>
      <c r="D82" s="14" t="s">
        <v>156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5" t="s">
        <v>157</v>
      </c>
      <c r="B85" s="15"/>
      <c r="C85" s="15"/>
      <c r="D85" s="15"/>
      <c r="E85" s="15"/>
      <c r="F85" s="15"/>
      <c r="G85" s="15"/>
      <c r="H85" s="15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158</v>
      </c>
      <c r="B88" t="s">
        <v>159</v>
      </c>
      <c r="C88" t="s">
        <v>30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160</v>
      </c>
      <c r="B89" t="s">
        <v>159</v>
      </c>
      <c r="C89" t="s">
        <v>30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161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23</v>
      </c>
      <c r="B6" s="1">
        <f>核心参数输入!$B$10</f>
        <v>100000</v>
      </c>
      <c r="C6" s="11" t="s">
        <v>24</v>
      </c>
    </row>
    <row r="7" spans="1:34" ht="21" customHeight="1">
      <c r="A7" s="11" t="s">
        <v>163</v>
      </c>
      <c r="B7" s="1">
        <f>核心参数输入!$B$10*核心参数输入!$B$11</f>
        <v>150000</v>
      </c>
      <c r="C7" s="11" t="s">
        <v>24</v>
      </c>
    </row>
    <row r="8" spans="1:34" ht="21" customHeight="1">
      <c r="A8" s="11" t="s">
        <v>164</v>
      </c>
      <c r="B8" s="1">
        <f>$B$7*核心参数输入!$B$12</f>
        <v>135000</v>
      </c>
      <c r="C8" s="11" t="s">
        <v>24</v>
      </c>
    </row>
    <row r="9" spans="1:34" ht="21" customHeight="1">
      <c r="A9" s="11" t="s">
        <v>165</v>
      </c>
      <c r="B9" s="1">
        <f>$B$8*核心参数输入!$B$14</f>
        <v>74250</v>
      </c>
      <c r="C9" s="11" t="s">
        <v>24</v>
      </c>
    </row>
    <row r="10" spans="1:34" ht="21" customHeight="1">
      <c r="A10" s="11" t="s">
        <v>166</v>
      </c>
      <c r="B10" s="1">
        <f>$B$8*核心参数输入!$B$15</f>
        <v>60749.999999999993</v>
      </c>
      <c r="C10" s="11" t="s">
        <v>24</v>
      </c>
    </row>
    <row r="11" spans="1:34" ht="21" customHeight="1">
      <c r="A11" s="11" t="s">
        <v>32</v>
      </c>
      <c r="B11" s="1">
        <f>核心参数输入!$B$13</f>
        <v>15000</v>
      </c>
      <c r="C11" s="11" t="s">
        <v>24</v>
      </c>
    </row>
    <row r="18" spans="1:34" ht="24.95" customHeight="1">
      <c r="A18" s="15" t="s">
        <v>167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20" spans="1:34" ht="21" customHeight="1">
      <c r="A20" s="11" t="s">
        <v>168</v>
      </c>
      <c r="B20" s="11" t="s">
        <v>30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169</v>
      </c>
      <c r="B21" s="11" t="s">
        <v>30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170</v>
      </c>
      <c r="B22" s="11" t="s">
        <v>30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171</v>
      </c>
      <c r="B23" s="11" t="s">
        <v>24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172</v>
      </c>
      <c r="B24" s="11" t="s">
        <v>24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173</v>
      </c>
      <c r="B25" s="11" t="s">
        <v>19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174</v>
      </c>
      <c r="B26" s="11" t="s">
        <v>30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175</v>
      </c>
      <c r="B27" s="11" t="s">
        <v>24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176</v>
      </c>
      <c r="B28" s="11" t="s">
        <v>24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177</v>
      </c>
      <c r="B29" s="11" t="s">
        <v>178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5" t="s">
        <v>179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100" spans="1:34" ht="21" customHeight="1">
      <c r="A100" s="11" t="s">
        <v>168</v>
      </c>
      <c r="B100" s="11" t="s">
        <v>30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169</v>
      </c>
      <c r="B101" s="11" t="s">
        <v>30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170</v>
      </c>
      <c r="B102" s="11" t="s">
        <v>30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171</v>
      </c>
      <c r="B103" s="11" t="s">
        <v>24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172</v>
      </c>
      <c r="B104" s="11" t="s">
        <v>24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173</v>
      </c>
      <c r="B105" s="11" t="s">
        <v>19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174</v>
      </c>
      <c r="B106" s="11" t="s">
        <v>30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175</v>
      </c>
      <c r="B107" s="11" t="s">
        <v>24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176</v>
      </c>
      <c r="B108" s="11" t="s">
        <v>24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177</v>
      </c>
      <c r="B109" s="11" t="s">
        <v>178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180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181</v>
      </c>
      <c r="B6" s="1">
        <f>核心参数输入!$B$10*核心参数输入!$B$21/10000</f>
        <v>8000</v>
      </c>
      <c r="C6" s="11" t="s">
        <v>54</v>
      </c>
    </row>
    <row r="7" spans="1:34" ht="21" customHeight="1">
      <c r="A7" s="11" t="s">
        <v>182</v>
      </c>
      <c r="B7" s="1">
        <f>建筑面积与开发计划!$B$7*核心参数输入!$B$22/10000*1</f>
        <v>36000</v>
      </c>
      <c r="C7" s="11" t="s">
        <v>54</v>
      </c>
    </row>
    <row r="8" spans="1:34" ht="21" customHeight="1">
      <c r="A8" s="11" t="s">
        <v>183</v>
      </c>
      <c r="B8" s="1">
        <f>核心参数输入!$B$13*核心参数输入!$B$23/10000*1</f>
        <v>4500</v>
      </c>
      <c r="C8" s="11" t="s">
        <v>54</v>
      </c>
    </row>
    <row r="9" spans="1:34" ht="21" customHeight="1">
      <c r="A9" s="11" t="s">
        <v>184</v>
      </c>
      <c r="B9" s="1">
        <f>核心参数输入!$B$24*1</f>
        <v>4500</v>
      </c>
      <c r="C9" s="11" t="s">
        <v>54</v>
      </c>
    </row>
    <row r="10" spans="1:34" ht="21" customHeight="1">
      <c r="A10" s="11" t="s">
        <v>185</v>
      </c>
      <c r="B10" s="1">
        <f>核心参数输入!$B$25*1</f>
        <v>1800</v>
      </c>
      <c r="C10" s="11" t="s">
        <v>54</v>
      </c>
    </row>
    <row r="11" spans="1:34" ht="21" customHeight="1">
      <c r="A11" s="11" t="s">
        <v>58</v>
      </c>
      <c r="B11" s="1">
        <f>核心参数输入!$B$26*1</f>
        <v>2200</v>
      </c>
      <c r="C11" s="11" t="s">
        <v>54</v>
      </c>
    </row>
    <row r="12" spans="1:34" ht="21" customHeight="1">
      <c r="A12" s="11" t="s">
        <v>186</v>
      </c>
      <c r="B12" s="1">
        <f>SUM(B7:B11)</f>
        <v>49000</v>
      </c>
      <c r="C12" s="11" t="s">
        <v>54</v>
      </c>
    </row>
    <row r="13" spans="1:34" ht="21" customHeight="1">
      <c r="A13" s="11" t="s">
        <v>187</v>
      </c>
      <c r="B13" s="1">
        <f>B12*核心参数输入!$B$27</f>
        <v>3920</v>
      </c>
      <c r="C13" s="11" t="s">
        <v>54</v>
      </c>
    </row>
    <row r="14" spans="1:34" ht="21" customHeight="1">
      <c r="A14" s="11" t="s">
        <v>188</v>
      </c>
      <c r="B14" s="13">
        <f>SUM(B12:B13)</f>
        <v>52920</v>
      </c>
      <c r="C14" s="11" t="s">
        <v>54</v>
      </c>
    </row>
    <row r="15" spans="1:34" ht="21" customHeight="1">
      <c r="A15" s="11" t="s">
        <v>189</v>
      </c>
      <c r="B15" s="1">
        <f>SUM(融资与还本付息!$D$16:$AH$16)</f>
        <v>1890</v>
      </c>
      <c r="C15" s="11" t="s">
        <v>54</v>
      </c>
    </row>
    <row r="16" spans="1:34" ht="21" customHeight="1">
      <c r="A16" s="11" t="s">
        <v>190</v>
      </c>
      <c r="B16" s="13">
        <f>B6+B14+B15</f>
        <v>62810</v>
      </c>
      <c r="C16" s="11" t="s">
        <v>54</v>
      </c>
    </row>
    <row r="17" spans="1:34" ht="21" customHeight="1">
      <c r="A17" s="11" t="s">
        <v>62</v>
      </c>
      <c r="B17" s="1">
        <f>核心参数输入!$B$28</f>
        <v>500</v>
      </c>
      <c r="C17" s="11" t="s">
        <v>54</v>
      </c>
    </row>
    <row r="18" spans="1:34" ht="21" customHeight="1">
      <c r="A18" s="11" t="s">
        <v>191</v>
      </c>
      <c r="B18" s="13">
        <f>SUM(B16:B17)</f>
        <v>63310</v>
      </c>
      <c r="C18" s="11" t="s">
        <v>54</v>
      </c>
    </row>
    <row r="19" spans="1:34" ht="21" customHeight="1">
      <c r="A19" s="11" t="s">
        <v>192</v>
      </c>
      <c r="B19" s="1">
        <f>(B6+B14)*核心参数输入!$B$14</f>
        <v>33506</v>
      </c>
      <c r="C19" s="11" t="s">
        <v>54</v>
      </c>
    </row>
    <row r="20" spans="1:34" ht="21" customHeight="1">
      <c r="A20" s="11" t="s">
        <v>193</v>
      </c>
      <c r="B20" s="1">
        <f>B14*核心参数输入!$B$15</f>
        <v>23813.999999999996</v>
      </c>
      <c r="C20" s="11" t="s">
        <v>54</v>
      </c>
    </row>
    <row r="21" spans="1:34" ht="21" customHeight="1">
      <c r="A21" s="11" t="s">
        <v>194</v>
      </c>
      <c r="B21" s="1">
        <f>B6*核心参数输入!$B$15</f>
        <v>3599.9999999999995</v>
      </c>
      <c r="C21" s="11" t="s">
        <v>54</v>
      </c>
    </row>
    <row r="22" spans="1:34" ht="21" customHeight="1">
      <c r="A22" s="11" t="s">
        <v>195</v>
      </c>
      <c r="B22" s="1">
        <f>B16*核心参数输入!$B$14</f>
        <v>34545.5</v>
      </c>
      <c r="C22" s="11" t="s">
        <v>54</v>
      </c>
    </row>
    <row r="23" spans="1:34" ht="21" customHeight="1">
      <c r="A23" s="11" t="s">
        <v>196</v>
      </c>
      <c r="B23" s="1">
        <f>(B14+B15)*核心参数输入!$B$15</f>
        <v>24664.499999999996</v>
      </c>
      <c r="C23" s="11" t="s">
        <v>54</v>
      </c>
    </row>
    <row r="24" spans="1:34" ht="21" customHeight="1">
      <c r="A24" s="11" t="s">
        <v>197</v>
      </c>
      <c r="B24" s="1">
        <f>B16*核心参数输入!$B$15+B17</f>
        <v>28764.499999999996</v>
      </c>
      <c r="C24" s="11" t="s">
        <v>54</v>
      </c>
    </row>
    <row r="26" spans="1:34" ht="24.95" customHeight="1">
      <c r="A26" s="15" t="s">
        <v>198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8" spans="1:34" ht="21" customHeight="1">
      <c r="A28" s="11" t="s">
        <v>199</v>
      </c>
      <c r="B28" s="11" t="s">
        <v>54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200</v>
      </c>
      <c r="B29" s="11" t="s">
        <v>54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201</v>
      </c>
      <c r="B30" s="11" t="s">
        <v>54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202</v>
      </c>
      <c r="B31" s="11" t="s">
        <v>54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203</v>
      </c>
      <c r="B32" s="11" t="s">
        <v>54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204</v>
      </c>
      <c r="B33" s="11" t="s">
        <v>54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205</v>
      </c>
      <c r="B34" s="11" t="s">
        <v>54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206</v>
      </c>
      <c r="B35" s="11" t="s">
        <v>54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207</v>
      </c>
    </row>
    <row r="86" spans="1:3" ht="21" customHeight="1">
      <c r="A86" s="11" t="s">
        <v>181</v>
      </c>
      <c r="B86" s="1">
        <f>核心参数输入!$B$10*核心参数输入!$B$21/10000</f>
        <v>8000</v>
      </c>
      <c r="C86" s="11" t="s">
        <v>54</v>
      </c>
    </row>
    <row r="87" spans="1:3" ht="21" customHeight="1">
      <c r="A87" s="11" t="s">
        <v>182</v>
      </c>
      <c r="B87" s="1">
        <f>建筑面积与开发计划!$B$7*核心参数输入!$B$22/10000*(1+核心参数输入!$B$81)</f>
        <v>39600</v>
      </c>
      <c r="C87" s="11" t="s">
        <v>54</v>
      </c>
    </row>
    <row r="88" spans="1:3" ht="21" customHeight="1">
      <c r="A88" s="11" t="s">
        <v>183</v>
      </c>
      <c r="B88" s="1">
        <f>核心参数输入!$B$13*核心参数输入!$B$23/10000*(1+核心参数输入!$B$81)</f>
        <v>4950</v>
      </c>
      <c r="C88" s="11" t="s">
        <v>54</v>
      </c>
    </row>
    <row r="89" spans="1:3" ht="21" customHeight="1">
      <c r="A89" s="11" t="s">
        <v>184</v>
      </c>
      <c r="B89" s="1">
        <f>核心参数输入!$B$24*(1+核心参数输入!$B$81)</f>
        <v>4950</v>
      </c>
      <c r="C89" s="11" t="s">
        <v>54</v>
      </c>
    </row>
    <row r="90" spans="1:3" ht="21" customHeight="1">
      <c r="A90" s="11" t="s">
        <v>185</v>
      </c>
      <c r="B90" s="1">
        <f>核心参数输入!$B$25*(1+核心参数输入!$B$81)</f>
        <v>1980.0000000000002</v>
      </c>
      <c r="C90" s="11" t="s">
        <v>54</v>
      </c>
    </row>
    <row r="91" spans="1:3" ht="21" customHeight="1">
      <c r="A91" s="11" t="s">
        <v>58</v>
      </c>
      <c r="B91" s="1">
        <f>核心参数输入!$B$26*(1+核心参数输入!$B$81)</f>
        <v>2420</v>
      </c>
      <c r="C91" s="11" t="s">
        <v>54</v>
      </c>
    </row>
    <row r="92" spans="1:3" ht="21" customHeight="1">
      <c r="A92" s="11" t="s">
        <v>186</v>
      </c>
      <c r="B92" s="1">
        <f>SUM(B87:B91)</f>
        <v>53900</v>
      </c>
      <c r="C92" s="11" t="s">
        <v>54</v>
      </c>
    </row>
    <row r="93" spans="1:3" ht="21" customHeight="1">
      <c r="A93" s="11" t="s">
        <v>187</v>
      </c>
      <c r="B93" s="1">
        <f>B92*核心参数输入!$B$27</f>
        <v>4312</v>
      </c>
      <c r="C93" s="11" t="s">
        <v>54</v>
      </c>
    </row>
    <row r="94" spans="1:3" ht="21" customHeight="1">
      <c r="A94" s="11" t="s">
        <v>188</v>
      </c>
      <c r="B94" s="13">
        <f>SUM(B92:B93)</f>
        <v>58212</v>
      </c>
      <c r="C94" s="11" t="s">
        <v>54</v>
      </c>
    </row>
    <row r="95" spans="1:3" ht="21" customHeight="1">
      <c r="A95" s="11" t="s">
        <v>189</v>
      </c>
      <c r="B95" s="1">
        <f>SUM(融资与还本付息!$D$96:$AH$96)</f>
        <v>1890</v>
      </c>
      <c r="C95" s="11" t="s">
        <v>54</v>
      </c>
    </row>
    <row r="96" spans="1:3" ht="21" customHeight="1">
      <c r="A96" s="11" t="s">
        <v>190</v>
      </c>
      <c r="B96" s="13">
        <f>B86+B94+B95</f>
        <v>68102</v>
      </c>
      <c r="C96" s="11" t="s">
        <v>54</v>
      </c>
    </row>
    <row r="97" spans="1:34" ht="21" customHeight="1">
      <c r="A97" s="11" t="s">
        <v>62</v>
      </c>
      <c r="B97" s="1">
        <f>核心参数输入!$B$28</f>
        <v>500</v>
      </c>
      <c r="C97" s="11" t="s">
        <v>54</v>
      </c>
    </row>
    <row r="98" spans="1:34" ht="21" customHeight="1">
      <c r="A98" s="11" t="s">
        <v>191</v>
      </c>
      <c r="B98" s="13">
        <f>SUM(B96:B97)</f>
        <v>68602</v>
      </c>
      <c r="C98" s="11" t="s">
        <v>54</v>
      </c>
    </row>
    <row r="99" spans="1:34" ht="21" customHeight="1">
      <c r="A99" s="11" t="s">
        <v>192</v>
      </c>
      <c r="B99" s="1">
        <f>(B86+B94)*核心参数输入!$B$14</f>
        <v>36416.600000000006</v>
      </c>
      <c r="C99" s="11" t="s">
        <v>54</v>
      </c>
    </row>
    <row r="100" spans="1:34" ht="21" customHeight="1">
      <c r="A100" s="11" t="s">
        <v>193</v>
      </c>
      <c r="B100" s="1">
        <f>B94*核心参数输入!$B$15</f>
        <v>26195.399999999998</v>
      </c>
      <c r="C100" s="11" t="s">
        <v>54</v>
      </c>
    </row>
    <row r="101" spans="1:34" ht="21" customHeight="1">
      <c r="A101" s="11" t="s">
        <v>194</v>
      </c>
      <c r="B101" s="1">
        <f>B86*核心参数输入!$B$15</f>
        <v>3599.9999999999995</v>
      </c>
      <c r="C101" s="11" t="s">
        <v>54</v>
      </c>
    </row>
    <row r="102" spans="1:34" ht="21" customHeight="1">
      <c r="A102" s="11" t="s">
        <v>195</v>
      </c>
      <c r="B102" s="1">
        <f>B96*核心参数输入!$B$14</f>
        <v>37456.100000000006</v>
      </c>
      <c r="C102" s="11" t="s">
        <v>54</v>
      </c>
    </row>
    <row r="103" spans="1:34" ht="21" customHeight="1">
      <c r="A103" s="11" t="s">
        <v>196</v>
      </c>
      <c r="B103" s="1">
        <f>(B94+B95)*核心参数输入!$B$15</f>
        <v>27045.899999999998</v>
      </c>
      <c r="C103" s="11" t="s">
        <v>54</v>
      </c>
    </row>
    <row r="104" spans="1:34" ht="21" customHeight="1">
      <c r="A104" s="11" t="s">
        <v>197</v>
      </c>
      <c r="B104" s="1">
        <f>B96*核心参数输入!$B$15+B97</f>
        <v>31145.899999999998</v>
      </c>
      <c r="C104" s="11" t="s">
        <v>54</v>
      </c>
    </row>
    <row r="106" spans="1:34" ht="24.95" customHeight="1">
      <c r="A106" s="15" t="s">
        <v>198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8" spans="1:34" ht="21" customHeight="1">
      <c r="A108" s="11" t="s">
        <v>199</v>
      </c>
      <c r="B108" s="11" t="s">
        <v>54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200</v>
      </c>
      <c r="B109" s="11" t="s">
        <v>54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201</v>
      </c>
      <c r="B110" s="11" t="s">
        <v>54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202</v>
      </c>
      <c r="B111" s="11" t="s">
        <v>54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203</v>
      </c>
      <c r="B112" s="11" t="s">
        <v>54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204</v>
      </c>
      <c r="B113" s="11" t="s">
        <v>54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205</v>
      </c>
      <c r="B114" s="11" t="s">
        <v>54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206</v>
      </c>
      <c r="B115" s="11" t="s">
        <v>54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223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160</v>
      </c>
      <c r="B10" s="11" t="s">
        <v>30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224</v>
      </c>
      <c r="B11" s="11" t="s">
        <v>24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225</v>
      </c>
      <c r="B12" s="11" t="s">
        <v>47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226</v>
      </c>
      <c r="B13" s="11" t="s">
        <v>54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174</v>
      </c>
      <c r="B14" s="11" t="s">
        <v>30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175</v>
      </c>
      <c r="B15" s="11" t="s">
        <v>24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176</v>
      </c>
      <c r="B16" s="11" t="s">
        <v>24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173</v>
      </c>
      <c r="B17" s="11" t="s">
        <v>19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227</v>
      </c>
      <c r="B18" s="11" t="s">
        <v>73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228</v>
      </c>
      <c r="B19" s="11" t="s">
        <v>54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229</v>
      </c>
      <c r="B20" s="11" t="s">
        <v>54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230</v>
      </c>
      <c r="B21" s="11" t="s">
        <v>54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231</v>
      </c>
      <c r="B22" s="11" t="s">
        <v>54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232</v>
      </c>
      <c r="B23" s="11" t="s">
        <v>54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233</v>
      </c>
      <c r="B24" s="11" t="s">
        <v>54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234</v>
      </c>
      <c r="B25" s="11" t="s">
        <v>54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235</v>
      </c>
      <c r="B26" s="11" t="s">
        <v>54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5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160</v>
      </c>
      <c r="B90" s="11" t="s">
        <v>30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224</v>
      </c>
      <c r="B91" s="11" t="s">
        <v>24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225</v>
      </c>
      <c r="B92" s="11" t="s">
        <v>47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226</v>
      </c>
      <c r="B93" s="11" t="s">
        <v>54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174</v>
      </c>
      <c r="B94" s="11" t="s">
        <v>30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175</v>
      </c>
      <c r="B95" s="11" t="s">
        <v>24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176</v>
      </c>
      <c r="B96" s="11" t="s">
        <v>24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173</v>
      </c>
      <c r="B97" s="11" t="s">
        <v>19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227</v>
      </c>
      <c r="B98" s="11" t="s">
        <v>73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228</v>
      </c>
      <c r="B99" s="11" t="s">
        <v>54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229</v>
      </c>
      <c r="B100" s="11" t="s">
        <v>54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230</v>
      </c>
      <c r="B101" s="11" t="s">
        <v>54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231</v>
      </c>
      <c r="B102" s="11" t="s">
        <v>54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232</v>
      </c>
      <c r="B103" s="11" t="s">
        <v>54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233</v>
      </c>
      <c r="B104" s="11" t="s">
        <v>54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234</v>
      </c>
      <c r="B105" s="11" t="s">
        <v>54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235</v>
      </c>
      <c r="B106" s="11" t="s">
        <v>54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238</v>
      </c>
      <c r="B10" s="11" t="s">
        <v>54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239</v>
      </c>
      <c r="B11" s="11" t="s">
        <v>54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240</v>
      </c>
      <c r="B12" s="11" t="s">
        <v>54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241</v>
      </c>
      <c r="B13" s="11" t="s">
        <v>54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242</v>
      </c>
      <c r="B14" s="11" t="s">
        <v>54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243</v>
      </c>
      <c r="B15" s="11" t="s">
        <v>54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244</v>
      </c>
      <c r="B16" s="11" t="s">
        <v>54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245</v>
      </c>
      <c r="B17" s="11" t="s">
        <v>54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246</v>
      </c>
      <c r="B18" s="11" t="s">
        <v>54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247</v>
      </c>
      <c r="B19" s="11" t="s">
        <v>54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248</v>
      </c>
      <c r="B20" s="11" t="s">
        <v>54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249</v>
      </c>
      <c r="B21" s="11" t="s">
        <v>54</v>
      </c>
      <c r="D21" s="1">
        <f>IF(D$4&lt;=核心参数输入!$B$9,(SUM(投资与资金安排!$D$28:D28)+SUM(投资与资金安排!$D$29:D29))*核心参数输入!$B$15-SUM($D19:D19),0)</f>
        <v>3599.9999999999995</v>
      </c>
      <c r="E21" s="1">
        <f>IF(E$4&lt;=核心参数输入!$B$9,(SUM(投资与资金安排!$D$28:E28)+SUM(投资与资金安排!$D$29:E29))*核心参数输入!$B$15-SUM($D19:E19),0)</f>
        <v>10744.199999999999</v>
      </c>
      <c r="F21" s="1">
        <f>IF(F$4&lt;=核心参数输入!$B$9,(SUM(投资与资金安排!$D$28:F28)+SUM(投资与资金安排!$D$29:F29))*核心参数输入!$B$15-SUM($D19:F19),0)</f>
        <v>20269.8</v>
      </c>
      <c r="G21" s="1">
        <f>IF(G$4&lt;=核心参数输入!$B$9,(SUM(投资与资金安排!$D$28:G28)+SUM(投资与资金安排!$D$29:G29))*核心参数输入!$B$15-SUM($D19:G19),0)</f>
        <v>27413.999999999996</v>
      </c>
      <c r="H21" s="1">
        <f>IF(H$4&lt;=核心参数输入!$B$9,(SUM(投资与资金安排!$D$28:H28)+SUM(投资与资金安排!$D$29:H29))*核心参数输入!$B$15-SUM($D19:H19),0)</f>
        <v>26659.889999999996</v>
      </c>
      <c r="I21" s="1">
        <f>IF(I$4&lt;=核心参数输入!$B$9,(SUM(投资与资金安排!$D$28:I28)+SUM(投资与资金安排!$D$29:I29))*核心参数输入!$B$15-SUM($D19:I19),0)</f>
        <v>25905.779999999995</v>
      </c>
      <c r="J21" s="1">
        <f>IF(J$4&lt;=核心参数输入!$B$9,(SUM(投资与资金安排!$D$28:J28)+SUM(投资与资金安排!$D$29:J29))*核心参数输入!$B$15-SUM($D19:J19),0)</f>
        <v>25151.67</v>
      </c>
      <c r="K21" s="1">
        <f>IF(K$4&lt;=核心参数输入!$B$9,(SUM(投资与资金安排!$D$28:K28)+SUM(投资与资金安排!$D$29:K29))*核心参数输入!$B$15-SUM($D19:K19),0)</f>
        <v>24397.559999999998</v>
      </c>
      <c r="L21" s="1">
        <f>IF(L$4&lt;=核心参数输入!$B$9,(SUM(投资与资金安排!$D$28:L28)+SUM(投资与资金安排!$D$29:L29))*核心参数输入!$B$15-SUM($D19:L19),0)</f>
        <v>23643.449999999997</v>
      </c>
      <c r="M21" s="1">
        <f>IF(M$4&lt;=核心参数输入!$B$9,(SUM(投资与资金安排!$D$28:M28)+SUM(投资与资金安排!$D$29:M29))*核心参数输入!$B$15-SUM($D19:M19),0)</f>
        <v>22889.339999999997</v>
      </c>
      <c r="N21" s="1">
        <f>IF(N$4&lt;=核心参数输入!$B$9,(SUM(投资与资金安排!$D$28:N28)+SUM(投资与资金安排!$D$29:N29))*核心参数输入!$B$15-SUM($D19:N19),0)</f>
        <v>22135.229999999996</v>
      </c>
      <c r="O21" s="1">
        <f>IF(O$4&lt;=核心参数输入!$B$9,(SUM(投资与资金安排!$D$28:O28)+SUM(投资与资金安排!$D$29:O29))*核心参数输入!$B$15-SUM($D19:O19),0)</f>
        <v>21381.119999999999</v>
      </c>
      <c r="P21" s="1">
        <f>IF(P$4&lt;=核心参数输入!$B$9,(SUM(投资与资金安排!$D$28:P28)+SUM(投资与资金安排!$D$29:P29))*核心参数输入!$B$15-SUM($D19:P19),0)</f>
        <v>20627.009999999998</v>
      </c>
      <c r="Q21" s="1">
        <f>IF(Q$4&lt;=核心参数输入!$B$9,(SUM(投资与资金安排!$D$28:Q28)+SUM(投资与资金安排!$D$29:Q29))*核心参数输入!$B$15-SUM($D19:Q19),0)</f>
        <v>19872.899999999998</v>
      </c>
      <c r="R21" s="1">
        <f>IF(R$4&lt;=核心参数输入!$B$9,(SUM(投资与资金安排!$D$28:R28)+SUM(投资与资金安排!$D$29:R29))*核心参数输入!$B$15-SUM($D19:R19),0)</f>
        <v>19118.79</v>
      </c>
      <c r="S21" s="1">
        <f>IF(S$4&lt;=核心参数输入!$B$9,(SUM(投资与资金安排!$D$28:S28)+SUM(投资与资金安排!$D$29:S29))*核心参数输入!$B$15-SUM($D19:S19),0)</f>
        <v>18364.68</v>
      </c>
      <c r="T21" s="1">
        <f>IF(T$4&lt;=核心参数输入!$B$9,(SUM(投资与资金安排!$D$28:T28)+SUM(投资与资金安排!$D$29:T29))*核心参数输入!$B$15-SUM($D19:T19),0)</f>
        <v>17610.57</v>
      </c>
      <c r="U21" s="1">
        <f>IF(U$4&lt;=核心参数输入!$B$9,(SUM(投资与资金安排!$D$28:U28)+SUM(投资与资金安排!$D$29:U29))*核心参数输入!$B$15-SUM($D19:U19),0)</f>
        <v>16856.46</v>
      </c>
      <c r="V21" s="1">
        <f>IF(V$4&lt;=核心参数输入!$B$9,(SUM(投资与资金安排!$D$28:V28)+SUM(投资与资金安排!$D$29:V29))*核心参数输入!$B$15-SUM($D19:V19),0)</f>
        <v>16102.349999999997</v>
      </c>
      <c r="W21" s="1">
        <f>IF(W$4&lt;=核心参数输入!$B$9,(SUM(投资与资金安排!$D$28:W28)+SUM(投资与资金安排!$D$29:W29))*核心参数输入!$B$15-SUM($D19:W19),0)</f>
        <v>15348.239999999996</v>
      </c>
      <c r="X21" s="1">
        <f>IF(X$4&lt;=核心参数输入!$B$9,(SUM(投资与资金安排!$D$28:X28)+SUM(投资与资金安排!$D$29:X29))*核心参数输入!$B$15-SUM($D19:X19),0)</f>
        <v>14594.129999999996</v>
      </c>
      <c r="Y21" s="1">
        <f>IF(Y$4&lt;=核心参数输入!$B$9,(SUM(投资与资金安排!$D$28:Y28)+SUM(投资与资金安排!$D$29:Y29))*核心参数输入!$B$15-SUM($D19:Y19),0)</f>
        <v>0</v>
      </c>
      <c r="Z21" s="1">
        <f>IF(Z$4&lt;=核心参数输入!$B$9,(SUM(投资与资金安排!$D$28:Z28)+SUM(投资与资金安排!$D$29:Z29))*核心参数输入!$B$15-SUM($D19:Z19),0)</f>
        <v>0</v>
      </c>
      <c r="AA21" s="1">
        <f>IF(AA$4&lt;=核心参数输入!$B$9,(SUM(投资与资金安排!$D$28:AA28)+SUM(投资与资金安排!$D$29:AA29))*核心参数输入!$B$15-SUM($D19:AA19),0)</f>
        <v>0</v>
      </c>
      <c r="AB21" s="1">
        <f>IF(AB$4&lt;=核心参数输入!$B$9,(SUM(投资与资金安排!$D$28:AB28)+SUM(投资与资金安排!$D$29:AB29))*核心参数输入!$B$15-SUM($D19:AB19),0)</f>
        <v>0</v>
      </c>
      <c r="AC21" s="1">
        <f>IF(AC$4&lt;=核心参数输入!$B$9,(SUM(投资与资金安排!$D$28:AC28)+SUM(投资与资金安排!$D$29:AC29))*核心参数输入!$B$15-SUM($D19:AC19),0)</f>
        <v>0</v>
      </c>
      <c r="AD21" s="1">
        <f>IF(AD$4&lt;=核心参数输入!$B$9,(SUM(投资与资金安排!$D$28:AD28)+SUM(投资与资金安排!$D$29:AD29))*核心参数输入!$B$15-SUM($D19:AD19),0)</f>
        <v>0</v>
      </c>
      <c r="AE21" s="1">
        <f>IF(AE$4&lt;=核心参数输入!$B$9,(SUM(投资与资金安排!$D$28:AE28)+SUM(投资与资金安排!$D$29:AE29))*核心参数输入!$B$15-SUM($D19:AE19),0)</f>
        <v>0</v>
      </c>
      <c r="AF21" s="1">
        <f>IF(AF$4&lt;=核心参数输入!$B$9,(SUM(投资与资金安排!$D$28:AF28)+SUM(投资与资金安排!$D$29:AF29))*核心参数输入!$B$15-SUM($D19:AF19),0)</f>
        <v>0</v>
      </c>
      <c r="AG21" s="1">
        <f>IF(AG$4&lt;=核心参数输入!$B$9,(SUM(投资与资金安排!$D$28:AG28)+SUM(投资与资金安排!$D$29:AG29))*核心参数输入!$B$15-SUM($D19:AG19),0)</f>
        <v>0</v>
      </c>
      <c r="AH21" s="1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1" t="s">
        <v>250</v>
      </c>
      <c r="B22" s="11" t="s">
        <v>54</v>
      </c>
      <c r="D22" s="1">
        <f>IF(D$4&lt;=核心参数输入!$B$9,(SUM(投资与资金安排!$D$28:D28)+SUM(投资与资金安排!$D$29:D29)+SUM(融资与还本付息!$D$16:D16))*核心参数输入!$B$15-SUM($D20:D20),0)</f>
        <v>3599.9999999999995</v>
      </c>
      <c r="E22" s="1">
        <f>IF(E$4&lt;=核心参数输入!$B$9,(SUM(投资与资金安排!$D$28:E28)+SUM(投资与资金安排!$D$29:E29)+SUM(融资与还本付息!$D$16:E16))*核心参数输入!$B$15-SUM($D20:E20),0)</f>
        <v>10829.249999999998</v>
      </c>
      <c r="F22" s="1">
        <f>IF(F$4&lt;=核心参数输入!$B$9,(SUM(投资与资金安排!$D$28:F28)+SUM(投资与资金安排!$D$29:F29)+SUM(融资与还本付息!$D$16:F16))*核心参数输入!$B$15-SUM($D20:F20),0)</f>
        <v>20638.349999999999</v>
      </c>
      <c r="G22" s="1">
        <f>IF(G$4&lt;=核心参数输入!$B$9,(SUM(投资与资金安排!$D$28:G28)+SUM(投资与资金安排!$D$29:G29)+SUM(融资与还本付息!$D$16:G16))*核心参数输入!$B$15-SUM($D20:G20),0)</f>
        <v>28264.499999999996</v>
      </c>
      <c r="H22" s="1">
        <f>IF(H$4&lt;=核心参数输入!$B$9,(SUM(投资与资金安排!$D$28:H28)+SUM(投资与资金安排!$D$29:H29)+SUM(融资与还本付息!$D$16:H16))*核心参数输入!$B$15-SUM($D20:H20),0)</f>
        <v>27483.457499999997</v>
      </c>
      <c r="I22" s="1">
        <f>IF(I$4&lt;=核心参数输入!$B$9,(SUM(投资与资金安排!$D$28:I28)+SUM(投资与资金安排!$D$29:I29)+SUM(融资与还本付息!$D$16:I16))*核心参数输入!$B$15-SUM($D20:I20),0)</f>
        <v>26702.414999999997</v>
      </c>
      <c r="J22" s="1">
        <f>IF(J$4&lt;=核心参数输入!$B$9,(SUM(投资与资金安排!$D$28:J28)+SUM(投资与资金安排!$D$29:J29)+SUM(融资与还本付息!$D$16:J16))*核心参数输入!$B$15-SUM($D20:J20),0)</f>
        <v>25921.372499999998</v>
      </c>
      <c r="K22" s="1">
        <f>IF(K$4&lt;=核心参数输入!$B$9,(SUM(投资与资金安排!$D$28:K28)+SUM(投资与资金安排!$D$29:K29)+SUM(融资与还本付息!$D$16:K16))*核心参数输入!$B$15-SUM($D20:K20),0)</f>
        <v>25140.329999999998</v>
      </c>
      <c r="L22" s="1">
        <f>IF(L$4&lt;=核心参数输入!$B$9,(SUM(投资与资金安排!$D$28:L28)+SUM(投资与资金安排!$D$29:L29)+SUM(融资与还本付息!$D$16:L16))*核心参数输入!$B$15-SUM($D20:L20),0)</f>
        <v>24359.287499999999</v>
      </c>
      <c r="M22" s="1">
        <f>IF(M$4&lt;=核心参数输入!$B$9,(SUM(投资与资金安排!$D$28:M28)+SUM(投资与资金安排!$D$29:M29)+SUM(融资与还本付息!$D$16:M16))*核心参数输入!$B$15-SUM($D20:M20),0)</f>
        <v>23578.244999999999</v>
      </c>
      <c r="N22" s="1">
        <f>IF(N$4&lt;=核心参数输入!$B$9,(SUM(投资与资金安排!$D$28:N28)+SUM(投资与资金安排!$D$29:N29)+SUM(融资与还本付息!$D$16:N16))*核心参数输入!$B$15-SUM($D20:N20),0)</f>
        <v>22797.202499999999</v>
      </c>
      <c r="O22" s="1">
        <f>IF(O$4&lt;=核心参数输入!$B$9,(SUM(投资与资金安排!$D$28:O28)+SUM(投资与资金安排!$D$29:O29)+SUM(融资与还本付息!$D$16:O16))*核心参数输入!$B$15-SUM($D20:O20),0)</f>
        <v>22016.16</v>
      </c>
      <c r="P22" s="1">
        <f>IF(P$4&lt;=核心参数输入!$B$9,(SUM(投资与资金安排!$D$28:P28)+SUM(投资与资金安排!$D$29:P29)+SUM(融资与还本付息!$D$16:P16))*核心参数输入!$B$15-SUM($D20:P20),0)</f>
        <v>21235.1175</v>
      </c>
      <c r="Q22" s="1">
        <f>IF(Q$4&lt;=核心参数输入!$B$9,(SUM(投资与资金安排!$D$28:Q28)+SUM(投资与资金安排!$D$29:Q29)+SUM(融资与还本付息!$D$16:Q16))*核心参数输入!$B$15-SUM($D20:Q20),0)</f>
        <v>20454.075000000001</v>
      </c>
      <c r="R22" s="1">
        <f>IF(R$4&lt;=核心参数输入!$B$9,(SUM(投资与资金安排!$D$28:R28)+SUM(投资与资金安排!$D$29:R29)+SUM(融资与还本付息!$D$16:R16))*核心参数输入!$B$15-SUM($D20:R20),0)</f>
        <v>19673.032500000001</v>
      </c>
      <c r="S22" s="1">
        <f>IF(S$4&lt;=核心参数输入!$B$9,(SUM(投资与资金安排!$D$28:S28)+SUM(投资与资金安排!$D$29:S29)+SUM(融资与还本付息!$D$16:S16))*核心参数输入!$B$15-SUM($D20:S20),0)</f>
        <v>18891.989999999998</v>
      </c>
      <c r="T22" s="1">
        <f>IF(T$4&lt;=核心参数输入!$B$9,(SUM(投资与资金安排!$D$28:T28)+SUM(投资与资金安排!$D$29:T29)+SUM(融资与还本付息!$D$16:T16))*核心参数输入!$B$15-SUM($D20:T20),0)</f>
        <v>18110.947500000002</v>
      </c>
      <c r="U22" s="1">
        <f>IF(U$4&lt;=核心参数输入!$B$9,(SUM(投资与资金安排!$D$28:U28)+SUM(投资与资金安排!$D$29:U29)+SUM(融资与还本付息!$D$16:U16))*核心参数输入!$B$15-SUM($D20:U20),0)</f>
        <v>17329.904999999999</v>
      </c>
      <c r="V22" s="1">
        <f>IF(V$4&lt;=核心参数输入!$B$9,(SUM(投资与资金安排!$D$28:V28)+SUM(投资与资金安排!$D$29:V29)+SUM(融资与还本付息!$D$16:V16))*核心参数输入!$B$15-SUM($D20:V20),0)</f>
        <v>16548.862500000003</v>
      </c>
      <c r="W22" s="1">
        <f>IF(W$4&lt;=核心参数输入!$B$9,(SUM(投资与资金安排!$D$28:W28)+SUM(投资与资金安排!$D$29:W29)+SUM(融资与还本付息!$D$16:W16))*核心参数输入!$B$15-SUM($D20:W20),0)</f>
        <v>15767.820000000002</v>
      </c>
      <c r="X22" s="1">
        <f>IF(X$4&lt;=核心参数输入!$B$9,(SUM(投资与资金安排!$D$28:X28)+SUM(投资与资金安排!$D$29:X29)+SUM(融资与还本付息!$D$16:X16))*核心参数输入!$B$15-SUM($D20:X20),0)</f>
        <v>14986.777500000002</v>
      </c>
      <c r="Y22" s="1">
        <f>IF(Y$4&lt;=核心参数输入!$B$9,(SUM(投资与资金安排!$D$28:Y28)+SUM(投资与资金安排!$D$29:Y29)+SUM(融资与还本付息!$D$16:Y16))*核心参数输入!$B$15-SUM($D20:Y20),0)</f>
        <v>0</v>
      </c>
      <c r="Z22" s="1">
        <f>IF(Z$4&lt;=核心参数输入!$B$9,(SUM(投资与资金安排!$D$28:Z28)+SUM(投资与资金安排!$D$29:Z29)+SUM(融资与还本付息!$D$16:Z16))*核心参数输入!$B$15-SUM($D20:Z20),0)</f>
        <v>0</v>
      </c>
      <c r="AA22" s="1">
        <f>IF(AA$4&lt;=核心参数输入!$B$9,(SUM(投资与资金安排!$D$28:AA28)+SUM(投资与资金安排!$D$29:AA29)+SUM(融资与还本付息!$D$16:AA16))*核心参数输入!$B$15-SUM($D20:AA20),0)</f>
        <v>0</v>
      </c>
      <c r="AB22" s="1">
        <f>IF(AB$4&lt;=核心参数输入!$B$9,(SUM(投资与资金安排!$D$28:AB28)+SUM(投资与资金安排!$D$29:AB29)+SUM(融资与还本付息!$D$16:AB16))*核心参数输入!$B$15-SUM($D20:AB20),0)</f>
        <v>0</v>
      </c>
      <c r="AC22" s="1">
        <f>IF(AC$4&lt;=核心参数输入!$B$9,(SUM(投资与资金安排!$D$28:AC28)+SUM(投资与资金安排!$D$29:AC29)+SUM(融资与还本付息!$D$16:AC16))*核心参数输入!$B$15-SUM($D20:AC20),0)</f>
        <v>0</v>
      </c>
      <c r="AD22" s="1">
        <f>IF(AD$4&lt;=核心参数输入!$B$9,(SUM(投资与资金安排!$D$28:AD28)+SUM(投资与资金安排!$D$29:AD29)+SUM(融资与还本付息!$D$16:AD16))*核心参数输入!$B$15-SUM($D20:AD20),0)</f>
        <v>0</v>
      </c>
      <c r="AE22" s="1">
        <f>IF(AE$4&lt;=核心参数输入!$B$9,(SUM(投资与资金安排!$D$28:AE28)+SUM(投资与资金安排!$D$29:AE29)+SUM(融资与还本付息!$D$16:AE16))*核心参数输入!$B$15-SUM($D20:AE20),0)</f>
        <v>0</v>
      </c>
      <c r="AF22" s="1">
        <f>IF(AF$4&lt;=核心参数输入!$B$9,(SUM(投资与资金安排!$D$28:AF28)+SUM(投资与资金安排!$D$29:AF29)+SUM(融资与还本付息!$D$16:AF16))*核心参数输入!$B$15-SUM($D20:AF20),0)</f>
        <v>0</v>
      </c>
      <c r="AG22" s="1">
        <f>IF(AG$4&lt;=核心参数输入!$B$9,(SUM(投资与资金安排!$D$28:AG28)+SUM(投资与资金安排!$D$29:AG29)+SUM(融资与还本付息!$D$16:AG16))*核心参数输入!$B$15-SUM($D20:AG20),0)</f>
        <v>0</v>
      </c>
      <c r="AH22" s="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1" t="s">
        <v>251</v>
      </c>
      <c r="B23" s="11" t="s">
        <v>54</v>
      </c>
      <c r="D23" s="1">
        <f>IF(D$4&lt;=核心参数输入!$B$9,(SUM(投资与资金安排!$D$28:D28)+SUM(投资与资金安排!$D$29:D29)+SUM(融资与还本付息!$D$16:D16))*核心参数输入!$B$14-SUM($D18:D18),0)</f>
        <v>4400</v>
      </c>
      <c r="E23" s="1">
        <f>IF(E$4&lt;=核心参数输入!$B$9,(SUM(投资与资金安排!$D$28:E28)+SUM(投资与资金安排!$D$29:E29)+SUM(融资与还本付息!$D$16:E16))*核心参数输入!$B$14-SUM($D18:E18),0)</f>
        <v>13235.750000000002</v>
      </c>
      <c r="F23" s="1">
        <f>IF(F$4&lt;=核心参数输入!$B$9,(SUM(投资与资金安排!$D$28:F28)+SUM(投资与资金安排!$D$29:F29)+SUM(融资与还本付息!$D$16:F16))*核心参数输入!$B$14-SUM($D18:F18),0)</f>
        <v>25224.65</v>
      </c>
      <c r="G23" s="1">
        <f>IF(G$4&lt;=核心参数输入!$B$9,(SUM(投资与资金安排!$D$28:G28)+SUM(投资与资金安排!$D$29:G29)+SUM(融资与还本付息!$D$16:G16))*核心参数输入!$B$14-SUM($D18:G18),0)</f>
        <v>34545.5</v>
      </c>
      <c r="H23" s="1">
        <f>IF(H$4&lt;=核心参数输入!$B$9,(SUM(投资与资金安排!$D$28:H28)+SUM(投资与资金安排!$D$29:H29)+SUM(融资与还本付息!$D$16:H16))*核心参数输入!$B$14-SUM($D18:H18),0)</f>
        <v>24181.85</v>
      </c>
      <c r="I23" s="1">
        <f>IF(I$4&lt;=核心参数输入!$B$9,(SUM(投资与资金安排!$D$28:I28)+SUM(投资与资金安排!$D$29:I29)+SUM(融资与还本付息!$D$16:I16))*核心参数输入!$B$14-SUM($D18:I18),0)</f>
        <v>10363.650000000001</v>
      </c>
      <c r="J23" s="1">
        <f>IF(J$4&lt;=核心参数输入!$B$9,(SUM(投资与资金安排!$D$28:J28)+SUM(投资与资金安排!$D$29:J29)+SUM(融资与还本付息!$D$16:J16))*核心参数输入!$B$14-SUM($D18:J18),0)</f>
        <v>0</v>
      </c>
      <c r="K23" s="1">
        <f>IF(K$4&lt;=核心参数输入!$B$9,(SUM(投资与资金安排!$D$28:K28)+SUM(投资与资金安排!$D$29:K29)+SUM(融资与还本付息!$D$16:K16))*核心参数输入!$B$14-SUM($D18:K18),0)</f>
        <v>0</v>
      </c>
      <c r="L23" s="1">
        <f>IF(L$4&lt;=核心参数输入!$B$9,(SUM(投资与资金安排!$D$28:L28)+SUM(投资与资金安排!$D$29:L29)+SUM(融资与还本付息!$D$16:L16))*核心参数输入!$B$14-SUM($D18:L18),0)</f>
        <v>0</v>
      </c>
      <c r="M23" s="1">
        <f>IF(M$4&lt;=核心参数输入!$B$9,(SUM(投资与资金安排!$D$28:M28)+SUM(投资与资金安排!$D$29:M29)+SUM(融资与还本付息!$D$16:M16))*核心参数输入!$B$14-SUM($D18:M18),0)</f>
        <v>0</v>
      </c>
      <c r="N23" s="1">
        <f>IF(N$4&lt;=核心参数输入!$B$9,(SUM(投资与资金安排!$D$28:N28)+SUM(投资与资金安排!$D$29:N29)+SUM(融资与还本付息!$D$16:N16))*核心参数输入!$B$14-SUM($D18:N18),0)</f>
        <v>0</v>
      </c>
      <c r="O23" s="1">
        <f>IF(O$4&lt;=核心参数输入!$B$9,(SUM(投资与资金安排!$D$28:O28)+SUM(投资与资金安排!$D$29:O29)+SUM(融资与还本付息!$D$16:O16))*核心参数输入!$B$14-SUM($D18:O18),0)</f>
        <v>0</v>
      </c>
      <c r="P23" s="1">
        <f>IF(P$4&lt;=核心参数输入!$B$9,(SUM(投资与资金安排!$D$28:P28)+SUM(投资与资金安排!$D$29:P29)+SUM(融资与还本付息!$D$16:P16))*核心参数输入!$B$14-SUM($D18:P18),0)</f>
        <v>0</v>
      </c>
      <c r="Q23" s="1">
        <f>IF(Q$4&lt;=核心参数输入!$B$9,(SUM(投资与资金安排!$D$28:Q28)+SUM(投资与资金安排!$D$29:Q29)+SUM(融资与还本付息!$D$16:Q16))*核心参数输入!$B$14-SUM($D18:Q18),0)</f>
        <v>0</v>
      </c>
      <c r="R23" s="1">
        <f>IF(R$4&lt;=核心参数输入!$B$9,(SUM(投资与资金安排!$D$28:R28)+SUM(投资与资金安排!$D$29:R29)+SUM(融资与还本付息!$D$16:R16))*核心参数输入!$B$14-SUM($D18:R18),0)</f>
        <v>0</v>
      </c>
      <c r="S23" s="1">
        <f>IF(S$4&lt;=核心参数输入!$B$9,(SUM(投资与资金安排!$D$28:S28)+SUM(投资与资金安排!$D$29:S29)+SUM(融资与还本付息!$D$16:S16))*核心参数输入!$B$14-SUM($D18:S18),0)</f>
        <v>0</v>
      </c>
      <c r="T23" s="1">
        <f>IF(T$4&lt;=核心参数输入!$B$9,(SUM(投资与资金安排!$D$28:T28)+SUM(投资与资金安排!$D$29:T29)+SUM(融资与还本付息!$D$16:T16))*核心参数输入!$B$14-SUM($D18:T18),0)</f>
        <v>0</v>
      </c>
      <c r="U23" s="1">
        <f>IF(U$4&lt;=核心参数输入!$B$9,(SUM(投资与资金安排!$D$28:U28)+SUM(投资与资金安排!$D$29:U29)+SUM(融资与还本付息!$D$16:U16))*核心参数输入!$B$14-SUM($D18:U18),0)</f>
        <v>0</v>
      </c>
      <c r="V23" s="1">
        <f>IF(V$4&lt;=核心参数输入!$B$9,(SUM(投资与资金安排!$D$28:V28)+SUM(投资与资金安排!$D$29:V29)+SUM(融资与还本付息!$D$16:V16))*核心参数输入!$B$14-SUM($D18:V18),0)</f>
        <v>0</v>
      </c>
      <c r="W23" s="1">
        <f>IF(W$4&lt;=核心参数输入!$B$9,(SUM(投资与资金安排!$D$28:W28)+SUM(投资与资金安排!$D$29:W29)+SUM(融资与还本付息!$D$16:W16))*核心参数输入!$B$14-SUM($D18:W18),0)</f>
        <v>0</v>
      </c>
      <c r="X23" s="1">
        <f>IF(X$4&lt;=核心参数输入!$B$9,(SUM(投资与资金安排!$D$28:X28)+SUM(投资与资金安排!$D$29:X29)+SUM(融资与还本付息!$D$16:X16))*核心参数输入!$B$14-SUM($D18:X18),0)</f>
        <v>0</v>
      </c>
      <c r="Y23" s="1">
        <f>IF(Y$4&lt;=核心参数输入!$B$9,(SUM(投资与资金安排!$D$28:Y28)+SUM(投资与资金安排!$D$29:Y29)+SUM(融资与还本付息!$D$16:Y16))*核心参数输入!$B$14-SUM($D18:Y18),0)</f>
        <v>0</v>
      </c>
      <c r="Z23" s="1">
        <f>IF(Z$4&lt;=核心参数输入!$B$9,(SUM(投资与资金安排!$D$28:Z28)+SUM(投资与资金安排!$D$29:Z29)+SUM(融资与还本付息!$D$16:Z16))*核心参数输入!$B$14-SUM($D18:Z18),0)</f>
        <v>0</v>
      </c>
      <c r="AA23" s="1">
        <f>IF(AA$4&lt;=核心参数输入!$B$9,(SUM(投资与资金安排!$D$28:AA28)+SUM(投资与资金安排!$D$29:AA29)+SUM(融资与还本付息!$D$16:AA16))*核心参数输入!$B$14-SUM($D18:AA18),0)</f>
        <v>0</v>
      </c>
      <c r="AB23" s="1">
        <f>IF(AB$4&lt;=核心参数输入!$B$9,(SUM(投资与资金安排!$D$28:AB28)+SUM(投资与资金安排!$D$29:AB29)+SUM(融资与还本付息!$D$16:AB16))*核心参数输入!$B$14-SUM($D18:AB18),0)</f>
        <v>0</v>
      </c>
      <c r="AC23" s="1">
        <f>IF(AC$4&lt;=核心参数输入!$B$9,(SUM(投资与资金安排!$D$28:AC28)+SUM(投资与资金安排!$D$29:AC29)+SUM(融资与还本付息!$D$16:AC16))*核心参数输入!$B$14-SUM($D18:AC18),0)</f>
        <v>0</v>
      </c>
      <c r="AD23" s="1">
        <f>IF(AD$4&lt;=核心参数输入!$B$9,(SUM(投资与资金安排!$D$28:AD28)+SUM(投资与资金安排!$D$29:AD29)+SUM(融资与还本付息!$D$16:AD16))*核心参数输入!$B$14-SUM($D18:AD18),0)</f>
        <v>0</v>
      </c>
      <c r="AE23" s="1">
        <f>IF(AE$4&lt;=核心参数输入!$B$9,(SUM(投资与资金安排!$D$28:AE28)+SUM(投资与资金安排!$D$29:AE29)+SUM(融资与还本付息!$D$16:AE16))*核心参数输入!$B$14-SUM($D18:AE18),0)</f>
        <v>0</v>
      </c>
      <c r="AF23" s="1">
        <f>IF(AF$4&lt;=核心参数输入!$B$9,(SUM(投资与资金安排!$D$28:AF28)+SUM(投资与资金安排!$D$29:AF29)+SUM(融资与还本付息!$D$16:AF16))*核心参数输入!$B$14-SUM($D18:AF18),0)</f>
        <v>0</v>
      </c>
      <c r="AG23" s="1">
        <f>IF(AG$4&lt;=核心参数输入!$B$9,(SUM(投资与资金安排!$D$28:AG28)+SUM(投资与资金安排!$D$29:AG29)+SUM(融资与还本付息!$D$16:AG16))*核心参数输入!$B$14-SUM($D18:AG18),0)</f>
        <v>0</v>
      </c>
      <c r="AH23" s="1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1" t="s">
        <v>252</v>
      </c>
      <c r="B24" s="11" t="s">
        <v>54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253</v>
      </c>
      <c r="B25" s="11" t="s">
        <v>54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5" t="s">
        <v>254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238</v>
      </c>
      <c r="B90" s="11" t="s">
        <v>54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239</v>
      </c>
      <c r="B91" s="11" t="s">
        <v>54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240</v>
      </c>
      <c r="B92" s="11" t="s">
        <v>54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241</v>
      </c>
      <c r="B93" s="11" t="s">
        <v>54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242</v>
      </c>
      <c r="B94" s="11" t="s">
        <v>54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243</v>
      </c>
      <c r="B95" s="11" t="s">
        <v>54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244</v>
      </c>
      <c r="B96" s="11" t="s">
        <v>54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245</v>
      </c>
      <c r="B97" s="11" t="s">
        <v>54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246</v>
      </c>
      <c r="B98" s="11" t="s">
        <v>54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247</v>
      </c>
      <c r="B99" s="11" t="s">
        <v>54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248</v>
      </c>
      <c r="B100" s="11" t="s">
        <v>54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249</v>
      </c>
      <c r="B101" s="11" t="s">
        <v>54</v>
      </c>
      <c r="D101" s="1">
        <f>IF(D$4&lt;=核心参数输入!$B$9,(SUM(投资与资金安排!$D$108:D108)+SUM(投资与资金安排!$D$109:D109))*核心参数输入!$B$15-SUM($D99:D99),0)</f>
        <v>3599.9999999999995</v>
      </c>
      <c r="E101" s="1">
        <f>IF(E$4&lt;=核心参数输入!$B$9,(SUM(投资与资金安排!$D$108:E108)+SUM(投资与资金安排!$D$109:E109))*核心参数输入!$B$15-SUM($D99:E99),0)</f>
        <v>11458.619999999999</v>
      </c>
      <c r="F101" s="1">
        <f>IF(F$4&lt;=核心参数输入!$B$9,(SUM(投资与资金安排!$D$108:F108)+SUM(投资与资金安排!$D$109:F109))*核心参数输入!$B$15-SUM($D99:F99),0)</f>
        <v>21936.78</v>
      </c>
      <c r="G101" s="1">
        <f>IF(G$4&lt;=核心参数输入!$B$9,(SUM(投资与资金安排!$D$108:G108)+SUM(投资与资金安排!$D$109:G109))*核心参数输入!$B$15-SUM($D99:G99),0)</f>
        <v>29795.399999999998</v>
      </c>
      <c r="H101" s="1">
        <f>IF(H$4&lt;=核心参数输入!$B$9,(SUM(投资与资金安排!$D$108:H108)+SUM(投资与资金安排!$D$109:H109))*核心参数输入!$B$15-SUM($D99:H99),0)</f>
        <v>28965.878999999997</v>
      </c>
      <c r="I101" s="1">
        <f>IF(I$4&lt;=核心参数输入!$B$9,(SUM(投资与资金安排!$D$108:I108)+SUM(投资与资金安排!$D$109:I109))*核心参数输入!$B$15-SUM($D99:I99),0)</f>
        <v>28136.357999999997</v>
      </c>
      <c r="J101" s="1">
        <f>IF(J$4&lt;=核心参数输入!$B$9,(SUM(投资与资金安排!$D$108:J108)+SUM(投资与资金安排!$D$109:J109))*核心参数输入!$B$15-SUM($D99:J99),0)</f>
        <v>27306.837</v>
      </c>
      <c r="K101" s="1">
        <f>IF(K$4&lt;=核心参数输入!$B$9,(SUM(投资与资金安排!$D$108:K108)+SUM(投资与资金安排!$D$109:K109))*核心参数输入!$B$15-SUM($D99:K99),0)</f>
        <v>26477.315999999999</v>
      </c>
      <c r="L101" s="1">
        <f>IF(L$4&lt;=核心参数输入!$B$9,(SUM(投资与资金安排!$D$108:L108)+SUM(投资与资金安排!$D$109:L109))*核心参数输入!$B$15-SUM($D99:L99),0)</f>
        <v>25647.794999999998</v>
      </c>
      <c r="M101" s="1">
        <f>IF(M$4&lt;=核心参数输入!$B$9,(SUM(投资与资金安排!$D$108:M108)+SUM(投资与资金安排!$D$109:M109))*核心参数输入!$B$15-SUM($D99:M99),0)</f>
        <v>24818.273999999998</v>
      </c>
      <c r="N101" s="1">
        <f>IF(N$4&lt;=核心参数输入!$B$9,(SUM(投资与资金安排!$D$108:N108)+SUM(投资与资金安排!$D$109:N109))*核心参数输入!$B$15-SUM($D99:N99),0)</f>
        <v>23988.752999999997</v>
      </c>
      <c r="O101" s="1">
        <f>IF(O$4&lt;=核心参数输入!$B$9,(SUM(投资与资金安排!$D$108:O108)+SUM(投资与资金安排!$D$109:O109))*核心参数输入!$B$15-SUM($D99:O99),0)</f>
        <v>23159.232</v>
      </c>
      <c r="P101" s="1">
        <f>IF(P$4&lt;=核心参数输入!$B$9,(SUM(投资与资金安排!$D$108:P108)+SUM(投资与资金安排!$D$109:P109))*核心参数输入!$B$15-SUM($D99:P99),0)</f>
        <v>22329.710999999999</v>
      </c>
      <c r="Q101" s="1">
        <f>IF(Q$4&lt;=核心参数输入!$B$9,(SUM(投资与资金安排!$D$108:Q108)+SUM(投资与资金安排!$D$109:Q109))*核心参数输入!$B$15-SUM($D99:Q99),0)</f>
        <v>21500.19</v>
      </c>
      <c r="R101" s="1">
        <f>IF(R$4&lt;=核心参数输入!$B$9,(SUM(投资与资金安排!$D$108:R108)+SUM(投资与资金安排!$D$109:R109))*核心参数输入!$B$15-SUM($D99:R99),0)</f>
        <v>20670.668999999998</v>
      </c>
      <c r="S101" s="1">
        <f>IF(S$4&lt;=核心参数输入!$B$9,(SUM(投资与资金安排!$D$108:S108)+SUM(投资与资金安排!$D$109:S109))*核心参数输入!$B$15-SUM($D99:S99),0)</f>
        <v>19841.147999999997</v>
      </c>
      <c r="T101" s="1">
        <f>IF(T$4&lt;=核心参数输入!$B$9,(SUM(投资与资金安排!$D$108:T108)+SUM(投资与资金安排!$D$109:T109))*核心参数输入!$B$15-SUM($D99:T99),0)</f>
        <v>19011.626999999997</v>
      </c>
      <c r="U101" s="1">
        <f>IF(U$4&lt;=核心参数输入!$B$9,(SUM(投资与资金安排!$D$108:U108)+SUM(投资与资金安排!$D$109:U109))*核心参数输入!$B$15-SUM($D99:U99),0)</f>
        <v>18182.105999999996</v>
      </c>
      <c r="V101" s="1">
        <f>IF(V$4&lt;=核心参数输入!$B$9,(SUM(投资与资金安排!$D$108:V108)+SUM(投资与资金安排!$D$109:V109))*核心参数输入!$B$15-SUM($D99:V99),0)</f>
        <v>17352.584999999995</v>
      </c>
      <c r="W101" s="1">
        <f>IF(W$4&lt;=核心参数输入!$B$9,(SUM(投资与资金安排!$D$108:W108)+SUM(投资与资金安排!$D$109:W109))*核心参数输入!$B$15-SUM($D99:W99),0)</f>
        <v>16523.063999999995</v>
      </c>
      <c r="X101" s="1">
        <f>IF(X$4&lt;=核心参数输入!$B$9,(SUM(投资与资金安排!$D$108:X108)+SUM(投资与资金安排!$D$109:X109))*核心参数输入!$B$15-SUM($D99:X99),0)</f>
        <v>15693.542999999994</v>
      </c>
      <c r="Y101" s="1">
        <f>IF(Y$4&lt;=核心参数输入!$B$9,(SUM(投资与资金安排!$D$108:Y108)+SUM(投资与资金安排!$D$109:Y109))*核心参数输入!$B$15-SUM($D99:Y99),0)</f>
        <v>0</v>
      </c>
      <c r="Z101" s="1">
        <f>IF(Z$4&lt;=核心参数输入!$B$9,(SUM(投资与资金安排!$D$108:Z108)+SUM(投资与资金安排!$D$109:Z109))*核心参数输入!$B$15-SUM($D99:Z99),0)</f>
        <v>0</v>
      </c>
      <c r="AA101" s="1">
        <f>IF(AA$4&lt;=核心参数输入!$B$9,(SUM(投资与资金安排!$D$108:AA108)+SUM(投资与资金安排!$D$109:AA109))*核心参数输入!$B$15-SUM($D99:AA99),0)</f>
        <v>0</v>
      </c>
      <c r="AB101" s="1">
        <f>IF(AB$4&lt;=核心参数输入!$B$9,(SUM(投资与资金安排!$D$108:AB108)+SUM(投资与资金安排!$D$109:AB109))*核心参数输入!$B$15-SUM($D99:AB99),0)</f>
        <v>0</v>
      </c>
      <c r="AC101" s="1">
        <f>IF(AC$4&lt;=核心参数输入!$B$9,(SUM(投资与资金安排!$D$108:AC108)+SUM(投资与资金安排!$D$109:AC109))*核心参数输入!$B$15-SUM($D99:AC99),0)</f>
        <v>0</v>
      </c>
      <c r="AD101" s="1">
        <f>IF(AD$4&lt;=核心参数输入!$B$9,(SUM(投资与资金安排!$D$108:AD108)+SUM(投资与资金安排!$D$109:AD109))*核心参数输入!$B$15-SUM($D99:AD99),0)</f>
        <v>0</v>
      </c>
      <c r="AE101" s="1">
        <f>IF(AE$4&lt;=核心参数输入!$B$9,(SUM(投资与资金安排!$D$108:AE108)+SUM(投资与资金安排!$D$109:AE109))*核心参数输入!$B$15-SUM($D99:AE99),0)</f>
        <v>0</v>
      </c>
      <c r="AF101" s="1">
        <f>IF(AF$4&lt;=核心参数输入!$B$9,(SUM(投资与资金安排!$D$108:AF108)+SUM(投资与资金安排!$D$109:AF109))*核心参数输入!$B$15-SUM($D99:AF99),0)</f>
        <v>0</v>
      </c>
      <c r="AG101" s="1">
        <f>IF(AG$4&lt;=核心参数输入!$B$9,(SUM(投资与资金安排!$D$108:AG108)+SUM(投资与资金安排!$D$109:AG109))*核心参数输入!$B$15-SUM($D99:AG99),0)</f>
        <v>0</v>
      </c>
      <c r="AH101" s="1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1" t="s">
        <v>250</v>
      </c>
      <c r="B102" s="11" t="s">
        <v>54</v>
      </c>
      <c r="D102" s="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">
        <f>IF(L$4&lt;=核心参数输入!$B$9,(SUM(投资与资金安排!$D$108:L108)+SUM(投资与资金安排!$D$109:L109)+SUM(融资与还本付息!$D$96:L96))*核心参数输入!$B$15-SUM($D100:L100),0)</f>
        <v>26363.6325</v>
      </c>
      <c r="M102" s="1">
        <f>IF(M$4&lt;=核心参数输入!$B$9,(SUM(投资与资金安排!$D$108:M108)+SUM(投资与资金安排!$D$109:M109)+SUM(融资与还本付息!$D$96:M96))*核心参数输入!$B$15-SUM($D100:M100),0)</f>
        <v>25507.179</v>
      </c>
      <c r="N102" s="1">
        <f>IF(N$4&lt;=核心参数输入!$B$9,(SUM(投资与资金安排!$D$108:N108)+SUM(投资与资金安排!$D$109:N109)+SUM(融资与还本付息!$D$96:N96))*核心参数输入!$B$15-SUM($D100:N100),0)</f>
        <v>24650.7255</v>
      </c>
      <c r="O102" s="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">
        <f>IF(W$4&lt;=核心参数输入!$B$9,(SUM(投资与资金安排!$D$108:W108)+SUM(投资与资金安排!$D$109:W109)+SUM(融资与还本付息!$D$96:W96))*核心参数输入!$B$15-SUM($D100:W100),0)</f>
        <v>16942.644</v>
      </c>
      <c r="X102" s="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">
        <f>IF(Y$4&lt;=核心参数输入!$B$9,(SUM(投资与资金安排!$D$108:Y108)+SUM(投资与资金安排!$D$109:Y109)+SUM(融资与还本付息!$D$96:Y96))*核心参数输入!$B$15-SUM($D100:Y100),0)</f>
        <v>0</v>
      </c>
      <c r="Z102" s="1">
        <f>IF(Z$4&lt;=核心参数输入!$B$9,(SUM(投资与资金安排!$D$108:Z108)+SUM(投资与资金安排!$D$109:Z109)+SUM(融资与还本付息!$D$96:Z96))*核心参数输入!$B$15-SUM($D100:Z100),0)</f>
        <v>0</v>
      </c>
      <c r="AA102" s="1">
        <f>IF(AA$4&lt;=核心参数输入!$B$9,(SUM(投资与资金安排!$D$108:AA108)+SUM(投资与资金安排!$D$109:AA109)+SUM(融资与还本付息!$D$96:AA96))*核心参数输入!$B$15-SUM($D100:AA100),0)</f>
        <v>0</v>
      </c>
      <c r="AB102" s="1">
        <f>IF(AB$4&lt;=核心参数输入!$B$9,(SUM(投资与资金安排!$D$108:AB108)+SUM(投资与资金安排!$D$109:AB109)+SUM(融资与还本付息!$D$96:AB96))*核心参数输入!$B$15-SUM($D100:AB100),0)</f>
        <v>0</v>
      </c>
      <c r="AC102" s="1">
        <f>IF(AC$4&lt;=核心参数输入!$B$9,(SUM(投资与资金安排!$D$108:AC108)+SUM(投资与资金安排!$D$109:AC109)+SUM(融资与还本付息!$D$96:AC96))*核心参数输入!$B$15-SUM($D100:AC100),0)</f>
        <v>0</v>
      </c>
      <c r="AD102" s="1">
        <f>IF(AD$4&lt;=核心参数输入!$B$9,(SUM(投资与资金安排!$D$108:AD108)+SUM(投资与资金安排!$D$109:AD109)+SUM(融资与还本付息!$D$96:AD96))*核心参数输入!$B$15-SUM($D100:AD100),0)</f>
        <v>0</v>
      </c>
      <c r="AE102" s="1">
        <f>IF(AE$4&lt;=核心参数输入!$B$9,(SUM(投资与资金安排!$D$108:AE108)+SUM(投资与资金安排!$D$109:AE109)+SUM(融资与还本付息!$D$96:AE96))*核心参数输入!$B$15-SUM($D100:AE100),0)</f>
        <v>0</v>
      </c>
      <c r="AF102" s="1">
        <f>IF(AF$4&lt;=核心参数输入!$B$9,(SUM(投资与资金安排!$D$108:AF108)+SUM(投资与资金安排!$D$109:AF109)+SUM(融资与还本付息!$D$96:AF96))*核心参数输入!$B$15-SUM($D100:AF100),0)</f>
        <v>0</v>
      </c>
      <c r="AG102" s="1">
        <f>IF(AG$4&lt;=核心参数输入!$B$9,(SUM(投资与资金安排!$D$108:AG108)+SUM(投资与资金安排!$D$109:AG109)+SUM(融资与还本付息!$D$96:AG96))*核心参数输入!$B$15-SUM($D100:AG100),0)</f>
        <v>0</v>
      </c>
      <c r="AH102" s="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1" t="s">
        <v>251</v>
      </c>
      <c r="B103" s="11" t="s">
        <v>54</v>
      </c>
      <c r="D103" s="1">
        <f>IF(D$4&lt;=核心参数输入!$B$9,(SUM(投资与资金安排!$D$108:D108)+SUM(投资与资金安排!$D$109:D109)+SUM(融资与还本付息!$D$96:D96))*核心参数输入!$B$14-SUM($D98:D98),0)</f>
        <v>4400</v>
      </c>
      <c r="E103" s="1">
        <f>IF(E$4&lt;=核心参数输入!$B$9,(SUM(投资与资金安排!$D$108:E108)+SUM(投资与资金安排!$D$109:E109)+SUM(融资与还本付息!$D$96:E96))*核心参数输入!$B$14-SUM($D98:E98),0)</f>
        <v>14108.93</v>
      </c>
      <c r="F103" s="1">
        <f>IF(F$4&lt;=核心参数输入!$B$9,(SUM(投资与资金安排!$D$108:F108)+SUM(投资与资金安排!$D$109:F109)+SUM(融资与还本付息!$D$96:F96))*核心参数输入!$B$14-SUM($D98:F98),0)</f>
        <v>27262.070000000003</v>
      </c>
      <c r="G103" s="1">
        <f>IF(G$4&lt;=核心参数输入!$B$9,(SUM(投资与资金安排!$D$108:G108)+SUM(投资与资金安排!$D$109:G109)+SUM(融资与还本付息!$D$96:G96))*核心参数输入!$B$14-SUM($D98:G98),0)</f>
        <v>37456.100000000006</v>
      </c>
      <c r="H103" s="1">
        <f>IF(H$4&lt;=核心参数输入!$B$9,(SUM(投资与资金安排!$D$108:H108)+SUM(投资与资金安排!$D$109:H109)+SUM(融资与还本付息!$D$96:H96))*核心参数输入!$B$14-SUM($D98:H98),0)</f>
        <v>26219.270000000004</v>
      </c>
      <c r="I103" s="1">
        <f>IF(I$4&lt;=核心参数输入!$B$9,(SUM(投资与资金安排!$D$108:I108)+SUM(投资与资金安排!$D$109:I109)+SUM(融资与还本付息!$D$96:I96))*核心参数输入!$B$14-SUM($D98:I98),0)</f>
        <v>11236.830000000002</v>
      </c>
      <c r="J103" s="1">
        <f>IF(J$4&lt;=核心参数输入!$B$9,(SUM(投资与资金安排!$D$108:J108)+SUM(投资与资金安排!$D$109:J109)+SUM(融资与还本付息!$D$96:J96))*核心参数输入!$B$14-SUM($D98:J98),0)</f>
        <v>0</v>
      </c>
      <c r="K103" s="1">
        <f>IF(K$4&lt;=核心参数输入!$B$9,(SUM(投资与资金安排!$D$108:K108)+SUM(投资与资金安排!$D$109:K109)+SUM(融资与还本付息!$D$96:K96))*核心参数输入!$B$14-SUM($D98:K98),0)</f>
        <v>0</v>
      </c>
      <c r="L103" s="1">
        <f>IF(L$4&lt;=核心参数输入!$B$9,(SUM(投资与资金安排!$D$108:L108)+SUM(投资与资金安排!$D$109:L109)+SUM(融资与还本付息!$D$96:L96))*核心参数输入!$B$14-SUM($D98:L98),0)</f>
        <v>0</v>
      </c>
      <c r="M103" s="1">
        <f>IF(M$4&lt;=核心参数输入!$B$9,(SUM(投资与资金安排!$D$108:M108)+SUM(投资与资金安排!$D$109:M109)+SUM(融资与还本付息!$D$96:M96))*核心参数输入!$B$14-SUM($D98:M98),0)</f>
        <v>0</v>
      </c>
      <c r="N103" s="1">
        <f>IF(N$4&lt;=核心参数输入!$B$9,(SUM(投资与资金安排!$D$108:N108)+SUM(投资与资金安排!$D$109:N109)+SUM(融资与还本付息!$D$96:N96))*核心参数输入!$B$14-SUM($D98:N98),0)</f>
        <v>0</v>
      </c>
      <c r="O103" s="1">
        <f>IF(O$4&lt;=核心参数输入!$B$9,(SUM(投资与资金安排!$D$108:O108)+SUM(投资与资金安排!$D$109:O109)+SUM(融资与还本付息!$D$96:O96))*核心参数输入!$B$14-SUM($D98:O98),0)</f>
        <v>0</v>
      </c>
      <c r="P103" s="1">
        <f>IF(P$4&lt;=核心参数输入!$B$9,(SUM(投资与资金安排!$D$108:P108)+SUM(投资与资金安排!$D$109:P109)+SUM(融资与还本付息!$D$96:P96))*核心参数输入!$B$14-SUM($D98:P98),0)</f>
        <v>0</v>
      </c>
      <c r="Q103" s="1">
        <f>IF(Q$4&lt;=核心参数输入!$B$9,(SUM(投资与资金安排!$D$108:Q108)+SUM(投资与资金安排!$D$109:Q109)+SUM(融资与还本付息!$D$96:Q96))*核心参数输入!$B$14-SUM($D98:Q98),0)</f>
        <v>0</v>
      </c>
      <c r="R103" s="1">
        <f>IF(R$4&lt;=核心参数输入!$B$9,(SUM(投资与资金安排!$D$108:R108)+SUM(投资与资金安排!$D$109:R109)+SUM(融资与还本付息!$D$96:R96))*核心参数输入!$B$14-SUM($D98:R98),0)</f>
        <v>0</v>
      </c>
      <c r="S103" s="1">
        <f>IF(S$4&lt;=核心参数输入!$B$9,(SUM(投资与资金安排!$D$108:S108)+SUM(投资与资金安排!$D$109:S109)+SUM(融资与还本付息!$D$96:S96))*核心参数输入!$B$14-SUM($D98:S98),0)</f>
        <v>0</v>
      </c>
      <c r="T103" s="1">
        <f>IF(T$4&lt;=核心参数输入!$B$9,(SUM(投资与资金安排!$D$108:T108)+SUM(投资与资金安排!$D$109:T109)+SUM(融资与还本付息!$D$96:T96))*核心参数输入!$B$14-SUM($D98:T98),0)</f>
        <v>0</v>
      </c>
      <c r="U103" s="1">
        <f>IF(U$4&lt;=核心参数输入!$B$9,(SUM(投资与资金安排!$D$108:U108)+SUM(投资与资金安排!$D$109:U109)+SUM(融资与还本付息!$D$96:U96))*核心参数输入!$B$14-SUM($D98:U98),0)</f>
        <v>0</v>
      </c>
      <c r="V103" s="1">
        <f>IF(V$4&lt;=核心参数输入!$B$9,(SUM(投资与资金安排!$D$108:V108)+SUM(投资与资金安排!$D$109:V109)+SUM(融资与还本付息!$D$96:V96))*核心参数输入!$B$14-SUM($D98:V98),0)</f>
        <v>0</v>
      </c>
      <c r="W103" s="1">
        <f>IF(W$4&lt;=核心参数输入!$B$9,(SUM(投资与资金安排!$D$108:W108)+SUM(投资与资金安排!$D$109:W109)+SUM(融资与还本付息!$D$96:W96))*核心参数输入!$B$14-SUM($D98:W98),0)</f>
        <v>0</v>
      </c>
      <c r="X103" s="1">
        <f>IF(X$4&lt;=核心参数输入!$B$9,(SUM(投资与资金安排!$D$108:X108)+SUM(投资与资金安排!$D$109:X109)+SUM(融资与还本付息!$D$96:X96))*核心参数输入!$B$14-SUM($D98:X98),0)</f>
        <v>0</v>
      </c>
      <c r="Y103" s="1">
        <f>IF(Y$4&lt;=核心参数输入!$B$9,(SUM(投资与资金安排!$D$108:Y108)+SUM(投资与资金安排!$D$109:Y109)+SUM(融资与还本付息!$D$96:Y96))*核心参数输入!$B$14-SUM($D98:Y98),0)</f>
        <v>0</v>
      </c>
      <c r="Z103" s="1">
        <f>IF(Z$4&lt;=核心参数输入!$B$9,(SUM(投资与资金安排!$D$108:Z108)+SUM(投资与资金安排!$D$109:Z109)+SUM(融资与还本付息!$D$96:Z96))*核心参数输入!$B$14-SUM($D98:Z98),0)</f>
        <v>0</v>
      </c>
      <c r="AA103" s="1">
        <f>IF(AA$4&lt;=核心参数输入!$B$9,(SUM(投资与资金安排!$D$108:AA108)+SUM(投资与资金安排!$D$109:AA109)+SUM(融资与还本付息!$D$96:AA96))*核心参数输入!$B$14-SUM($D98:AA98),0)</f>
        <v>0</v>
      </c>
      <c r="AB103" s="1">
        <f>IF(AB$4&lt;=核心参数输入!$B$9,(SUM(投资与资金安排!$D$108:AB108)+SUM(投资与资金安排!$D$109:AB109)+SUM(融资与还本付息!$D$96:AB96))*核心参数输入!$B$14-SUM($D98:AB98),0)</f>
        <v>0</v>
      </c>
      <c r="AC103" s="1">
        <f>IF(AC$4&lt;=核心参数输入!$B$9,(SUM(投资与资金安排!$D$108:AC108)+SUM(投资与资金安排!$D$109:AC109)+SUM(融资与还本付息!$D$96:AC96))*核心参数输入!$B$14-SUM($D98:AC98),0)</f>
        <v>0</v>
      </c>
      <c r="AD103" s="1">
        <f>IF(AD$4&lt;=核心参数输入!$B$9,(SUM(投资与资金安排!$D$108:AD108)+SUM(投资与资金安排!$D$109:AD109)+SUM(融资与还本付息!$D$96:AD96))*核心参数输入!$B$14-SUM($D98:AD98),0)</f>
        <v>0</v>
      </c>
      <c r="AE103" s="1">
        <f>IF(AE$4&lt;=核心参数输入!$B$9,(SUM(投资与资金安排!$D$108:AE108)+SUM(投资与资金安排!$D$109:AE109)+SUM(融资与还本付息!$D$96:AE96))*核心参数输入!$B$14-SUM($D98:AE98),0)</f>
        <v>0</v>
      </c>
      <c r="AF103" s="1">
        <f>IF(AF$4&lt;=核心参数输入!$B$9,(SUM(投资与资金安排!$D$108:AF108)+SUM(投资与资金安排!$D$109:AF109)+SUM(融资与还本付息!$D$96:AF96))*核心参数输入!$B$14-SUM($D98:AF98),0)</f>
        <v>0</v>
      </c>
      <c r="AG103" s="1">
        <f>IF(AG$4&lt;=核心参数输入!$B$9,(SUM(投资与资金安排!$D$108:AG108)+SUM(投资与资金安排!$D$109:AG109)+SUM(融资与还本付息!$D$96:AG96))*核心参数输入!$B$14-SUM($D98:AG98),0)</f>
        <v>0</v>
      </c>
      <c r="AH103" s="1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1" t="s">
        <v>252</v>
      </c>
      <c r="B104" s="11" t="s">
        <v>54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253</v>
      </c>
      <c r="B105" s="11" t="s">
        <v>54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208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209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210</v>
      </c>
      <c r="B7" s="12">
        <f>IF(核心参数输入!$B$57=0,0,B6+核心参数输入!$B$59-1)</f>
        <v>10</v>
      </c>
    </row>
    <row r="8" spans="1:34" ht="21" customHeight="1">
      <c r="A8" s="11" t="s">
        <v>211</v>
      </c>
      <c r="B8" s="12">
        <f>IF(核心参数输入!$B$57=0,0,MAX(1,B7-核心参数输入!$B$60+1))</f>
        <v>7</v>
      </c>
    </row>
    <row r="10" spans="1:34" ht="21" customHeight="1">
      <c r="A10" s="11" t="s">
        <v>212</v>
      </c>
      <c r="B10" s="11" t="s">
        <v>54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213</v>
      </c>
      <c r="B11" s="11" t="s">
        <v>54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214</v>
      </c>
      <c r="B12" s="11" t="s">
        <v>178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215</v>
      </c>
      <c r="B13" s="11" t="s">
        <v>54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216</v>
      </c>
      <c r="B14" s="11" t="s">
        <v>54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217</v>
      </c>
      <c r="B15" s="11" t="s">
        <v>54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218</v>
      </c>
      <c r="B16" s="11" t="s">
        <v>54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219</v>
      </c>
      <c r="B17" s="11" t="s">
        <v>54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220</v>
      </c>
      <c r="B18" s="11" t="s">
        <v>54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221</v>
      </c>
      <c r="B19" s="11" t="s">
        <v>54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222</v>
      </c>
    </row>
    <row r="86" spans="1:34" ht="21" customHeight="1">
      <c r="A86" s="11" t="s">
        <v>209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210</v>
      </c>
      <c r="B87" s="12">
        <f>IF(核心参数输入!$B$57=0,0,B86+核心参数输入!$B$59-1)</f>
        <v>10</v>
      </c>
    </row>
    <row r="88" spans="1:34" ht="21" customHeight="1">
      <c r="A88" s="11" t="s">
        <v>211</v>
      </c>
      <c r="B88" s="12">
        <f>IF(核心参数输入!$B$57=0,0,MAX(1,B87-核心参数输入!$B$60+1))</f>
        <v>7</v>
      </c>
    </row>
    <row r="90" spans="1:34" ht="21" customHeight="1">
      <c r="A90" s="11" t="s">
        <v>212</v>
      </c>
      <c r="B90" s="11" t="s">
        <v>54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213</v>
      </c>
      <c r="B91" s="11" t="s">
        <v>54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214</v>
      </c>
      <c r="B92" s="11" t="s">
        <v>178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215</v>
      </c>
      <c r="B93" s="11" t="s">
        <v>54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216</v>
      </c>
      <c r="B94" s="11" t="s">
        <v>54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217</v>
      </c>
      <c r="B95" s="11" t="s">
        <v>54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218</v>
      </c>
      <c r="B96" s="11" t="s">
        <v>54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219</v>
      </c>
      <c r="B97" s="11" t="s">
        <v>54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220</v>
      </c>
      <c r="B98" s="11" t="s">
        <v>54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221</v>
      </c>
      <c r="B99" s="11" t="s">
        <v>54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255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256</v>
      </c>
      <c r="B10" s="11" t="s">
        <v>54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257</v>
      </c>
      <c r="B11" s="11" t="s">
        <v>54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258</v>
      </c>
      <c r="B12" s="11" t="s">
        <v>54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259</v>
      </c>
      <c r="B13" s="11" t="s">
        <v>54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260</v>
      </c>
      <c r="B14" s="11" t="s">
        <v>54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261</v>
      </c>
      <c r="B15" s="11" t="s">
        <v>54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262</v>
      </c>
      <c r="B16" s="11" t="s">
        <v>54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263</v>
      </c>
      <c r="B17" s="11" t="s">
        <v>54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264</v>
      </c>
      <c r="B18" s="11" t="s">
        <v>54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265</v>
      </c>
      <c r="B19" s="11" t="s">
        <v>54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266</v>
      </c>
      <c r="B20" s="11" t="s">
        <v>54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267</v>
      </c>
      <c r="B21" s="11" t="s">
        <v>54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200</v>
      </c>
      <c r="B22" s="11" t="s">
        <v>54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268</v>
      </c>
      <c r="B23" s="11" t="s">
        <v>54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269</v>
      </c>
      <c r="B24" s="11" t="s">
        <v>54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270</v>
      </c>
      <c r="B25" s="11" t="s">
        <v>54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271</v>
      </c>
      <c r="B26" s="11" t="s">
        <v>54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272</v>
      </c>
      <c r="B27" s="11" t="s">
        <v>54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273</v>
      </c>
      <c r="B28" s="11" t="s">
        <v>54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274</v>
      </c>
      <c r="B29" s="11" t="s">
        <v>54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275</v>
      </c>
      <c r="B30" s="11" t="s">
        <v>54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276</v>
      </c>
      <c r="B31" s="11" t="s">
        <v>54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277</v>
      </c>
      <c r="B32" s="11" t="s">
        <v>54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278</v>
      </c>
      <c r="B33" s="11" t="s">
        <v>54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279</v>
      </c>
      <c r="B34" s="11" t="s">
        <v>54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280</v>
      </c>
      <c r="B35" s="11" t="s">
        <v>54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281</v>
      </c>
      <c r="B36" s="11" t="s">
        <v>54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282</v>
      </c>
      <c r="B37" s="11" t="s">
        <v>54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283</v>
      </c>
      <c r="B38" s="11" t="s">
        <v>54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284</v>
      </c>
      <c r="B39" s="11" t="s">
        <v>54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285</v>
      </c>
      <c r="B40" s="11" t="s">
        <v>54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286</v>
      </c>
      <c r="B41" s="11" t="s">
        <v>54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287</v>
      </c>
      <c r="B42" s="11" t="s">
        <v>54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288</v>
      </c>
      <c r="B43" s="11" t="s">
        <v>54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289</v>
      </c>
      <c r="B44" s="11" t="s">
        <v>54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290</v>
      </c>
      <c r="B45" s="11" t="s">
        <v>54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291</v>
      </c>
      <c r="B46" s="11" t="s">
        <v>54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292</v>
      </c>
      <c r="B47" s="11" t="s">
        <v>54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293</v>
      </c>
      <c r="B48" s="11" t="s">
        <v>54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294</v>
      </c>
      <c r="B49" s="11" t="s">
        <v>54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295</v>
      </c>
      <c r="B50" s="11" t="s">
        <v>54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296</v>
      </c>
      <c r="B51" s="11" t="s">
        <v>54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297</v>
      </c>
      <c r="B52" s="11" t="s">
        <v>27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298</v>
      </c>
      <c r="B53" s="11" t="s">
        <v>27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299</v>
      </c>
      <c r="B54" s="11" t="s">
        <v>300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301</v>
      </c>
      <c r="B55" s="11" t="s">
        <v>300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302</v>
      </c>
      <c r="B56" s="11" t="s">
        <v>300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303</v>
      </c>
      <c r="B57" s="11" t="s">
        <v>300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304</v>
      </c>
      <c r="B58" s="11" t="s">
        <v>300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305</v>
      </c>
      <c r="B59" s="11" t="s">
        <v>54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306</v>
      </c>
      <c r="B60" s="11" t="s">
        <v>54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307</v>
      </c>
      <c r="B61" s="11" t="s">
        <v>54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308</v>
      </c>
      <c r="B62" s="11" t="s">
        <v>300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309</v>
      </c>
      <c r="B63" s="11" t="s">
        <v>300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310</v>
      </c>
      <c r="B64" s="11" t="s">
        <v>300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311</v>
      </c>
      <c r="B65" s="11" t="s">
        <v>54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312</v>
      </c>
      <c r="B66" s="11" t="s">
        <v>54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5" t="s">
        <v>313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256</v>
      </c>
      <c r="B90" s="11" t="s">
        <v>54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257</v>
      </c>
      <c r="B91" s="11" t="s">
        <v>54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258</v>
      </c>
      <c r="B92" s="11" t="s">
        <v>54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259</v>
      </c>
      <c r="B93" s="11" t="s">
        <v>54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260</v>
      </c>
      <c r="B94" s="11" t="s">
        <v>54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261</v>
      </c>
      <c r="B95" s="11" t="s">
        <v>54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262</v>
      </c>
      <c r="B96" s="11" t="s">
        <v>54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263</v>
      </c>
      <c r="B97" s="11" t="s">
        <v>54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264</v>
      </c>
      <c r="B98" s="11" t="s">
        <v>54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265</v>
      </c>
      <c r="B99" s="11" t="s">
        <v>54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266</v>
      </c>
      <c r="B100" s="11" t="s">
        <v>54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267</v>
      </c>
      <c r="B101" s="11" t="s">
        <v>54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200</v>
      </c>
      <c r="B102" s="11" t="s">
        <v>54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268</v>
      </c>
      <c r="B103" s="11" t="s">
        <v>54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269</v>
      </c>
      <c r="B104" s="11" t="s">
        <v>54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270</v>
      </c>
      <c r="B105" s="11" t="s">
        <v>54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271</v>
      </c>
      <c r="B106" s="11" t="s">
        <v>54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272</v>
      </c>
      <c r="B107" s="11" t="s">
        <v>54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273</v>
      </c>
      <c r="B108" s="11" t="s">
        <v>54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274</v>
      </c>
      <c r="B109" s="11" t="s">
        <v>54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275</v>
      </c>
      <c r="B110" s="11" t="s">
        <v>54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276</v>
      </c>
      <c r="B111" s="11" t="s">
        <v>54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277</v>
      </c>
      <c r="B112" s="11" t="s">
        <v>54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278</v>
      </c>
      <c r="B113" s="11" t="s">
        <v>54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279</v>
      </c>
      <c r="B114" s="11" t="s">
        <v>54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280</v>
      </c>
      <c r="B115" s="11" t="s">
        <v>54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281</v>
      </c>
      <c r="B116" s="11" t="s">
        <v>54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282</v>
      </c>
      <c r="B117" s="11" t="s">
        <v>54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283</v>
      </c>
      <c r="B118" s="11" t="s">
        <v>54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284</v>
      </c>
      <c r="B119" s="11" t="s">
        <v>54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285</v>
      </c>
      <c r="B120" s="11" t="s">
        <v>54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286</v>
      </c>
      <c r="B121" s="11" t="s">
        <v>54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287</v>
      </c>
      <c r="B122" s="11" t="s">
        <v>54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288</v>
      </c>
      <c r="B123" s="11" t="s">
        <v>54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289</v>
      </c>
      <c r="B124" s="11" t="s">
        <v>54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290</v>
      </c>
      <c r="B125" s="11" t="s">
        <v>54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291</v>
      </c>
      <c r="B126" s="11" t="s">
        <v>54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292</v>
      </c>
      <c r="B127" s="11" t="s">
        <v>54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293</v>
      </c>
      <c r="B128" s="11" t="s">
        <v>54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294</v>
      </c>
      <c r="B129" s="11" t="s">
        <v>54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295</v>
      </c>
      <c r="B130" s="11" t="s">
        <v>54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296</v>
      </c>
      <c r="B131" s="11" t="s">
        <v>54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297</v>
      </c>
      <c r="B132" s="11" t="s">
        <v>27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298</v>
      </c>
      <c r="B133" s="11" t="s">
        <v>27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299</v>
      </c>
      <c r="B134" s="11" t="s">
        <v>300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301</v>
      </c>
      <c r="B135" s="11" t="s">
        <v>300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302</v>
      </c>
      <c r="B136" s="11" t="s">
        <v>300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303</v>
      </c>
      <c r="B137" s="11" t="s">
        <v>300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304</v>
      </c>
      <c r="B138" s="11" t="s">
        <v>300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305</v>
      </c>
      <c r="B139" s="11" t="s">
        <v>54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306</v>
      </c>
      <c r="B140" s="11" t="s">
        <v>54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307</v>
      </c>
      <c r="B141" s="11" t="s">
        <v>54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308</v>
      </c>
      <c r="B142" s="11" t="s">
        <v>300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309</v>
      </c>
      <c r="B143" s="11" t="s">
        <v>300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310</v>
      </c>
      <c r="B144" s="11" t="s">
        <v>300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311</v>
      </c>
      <c r="B145" s="11" t="s">
        <v>54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312</v>
      </c>
      <c r="B146" s="11" t="s">
        <v>54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314</v>
      </c>
      <c r="B4" s="5" t="s">
        <v>180</v>
      </c>
      <c r="C4" s="5" t="s">
        <v>12</v>
      </c>
      <c r="D4" s="5" t="s">
        <v>207</v>
      </c>
      <c r="G4" s="5" t="s">
        <v>315</v>
      </c>
    </row>
    <row r="6" spans="1:7" ht="30" customHeight="1">
      <c r="A6" t="s">
        <v>316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30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317</v>
      </c>
    </row>
    <row r="7" spans="1:7" ht="30" customHeight="1">
      <c r="A7" t="s">
        <v>318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30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319</v>
      </c>
    </row>
    <row r="8" spans="1:7" ht="30" customHeight="1">
      <c r="A8" t="s">
        <v>320</v>
      </c>
      <c r="B8" s="1">
        <f>NPV(核心参数输入!$B$71,利润与现金流!$E$26:INDEX(利润与现金流!$D$26:$AH$26,核心参数输入!$B$9+1))+利润与现金流!D26</f>
        <v>-19528.190372715155</v>
      </c>
      <c r="C8" t="s">
        <v>54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321</v>
      </c>
    </row>
    <row r="9" spans="1:7" ht="30" customHeight="1">
      <c r="A9" t="s">
        <v>322</v>
      </c>
      <c r="B9" s="1">
        <f>NPV(核心参数输入!$B$72,利润与现金流!$E$38:INDEX(利润与现金流!$D$38:$AH$38,核心参数输入!$B$9+1))+利润与现金流!D38</f>
        <v>-17639.682755211808</v>
      </c>
      <c r="C9" t="s">
        <v>54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323</v>
      </c>
    </row>
    <row r="10" spans="1:7" ht="30" customHeight="1">
      <c r="A10" t="s">
        <v>324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19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325</v>
      </c>
    </row>
    <row r="11" spans="1:7" ht="30" customHeight="1">
      <c r="A11" t="s">
        <v>326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19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327</v>
      </c>
    </row>
    <row r="12" spans="1:7" ht="30" customHeight="1">
      <c r="A12" t="s">
        <v>328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27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329</v>
      </c>
    </row>
    <row r="13" spans="1:7" ht="30" customHeight="1">
      <c r="A13" t="s">
        <v>330</v>
      </c>
      <c r="B13" s="1">
        <f>SUM(利润与现金流!$D$34:INDEX(利润与现金流!$D$34:$AH$34,核心参数输入!$B$9+1))</f>
        <v>32810</v>
      </c>
      <c r="C13" t="s">
        <v>54</v>
      </c>
      <c r="D13" s="1">
        <f>SUM(利润与现金流!$D$114:INDEX(利润与现金流!$D$114:$AH$114,核心参数输入!$B$9+1))</f>
        <v>38102</v>
      </c>
      <c r="G13" s="4" t="s">
        <v>331</v>
      </c>
    </row>
    <row r="14" spans="1:7" ht="30" customHeight="1">
      <c r="A14" t="s">
        <v>332</v>
      </c>
      <c r="B14" s="1">
        <f>MAX(利润与现金流!$D$45:INDEX(利润与现金流!$D$45:$AH$45,核心参数输入!$B$9+1))</f>
        <v>0</v>
      </c>
      <c r="C14" t="s">
        <v>54</v>
      </c>
      <c r="D14" s="1">
        <f>MAX(利润与现金流!$D$125:INDEX(利润与现金流!$D$125:$AH$125,核心参数输入!$B$9+1))</f>
        <v>5102</v>
      </c>
      <c r="G14" s="4" t="s">
        <v>333</v>
      </c>
    </row>
    <row r="15" spans="1:7" ht="30" customHeight="1">
      <c r="A15" t="s">
        <v>334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54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335</v>
      </c>
    </row>
    <row r="16" spans="1:7" ht="30" customHeight="1">
      <c r="A16" t="s">
        <v>336</v>
      </c>
      <c r="B16" s="1">
        <f>投资与资金安排!$B$18</f>
        <v>63310</v>
      </c>
      <c r="C16" t="s">
        <v>54</v>
      </c>
      <c r="D16" s="1">
        <f>投资与资金安排!$B$98</f>
        <v>68602</v>
      </c>
      <c r="G16" s="4" t="s">
        <v>337</v>
      </c>
    </row>
    <row r="17" spans="1:7" ht="30" customHeight="1">
      <c r="A17" t="s">
        <v>111</v>
      </c>
      <c r="B17" s="1">
        <f>核心参数输入!$B$57</f>
        <v>30000</v>
      </c>
      <c r="C17" t="s">
        <v>54</v>
      </c>
      <c r="D17" s="1">
        <f>核心参数输入!$B$57</f>
        <v>30000</v>
      </c>
      <c r="G17" s="4" t="s">
        <v>338</v>
      </c>
    </row>
    <row r="18" spans="1:7" ht="30" customHeight="1">
      <c r="A18" t="s">
        <v>339</v>
      </c>
      <c r="B18" s="1">
        <f>核心参数输入!$B$61</f>
        <v>33000</v>
      </c>
      <c r="C18" t="s">
        <v>54</v>
      </c>
      <c r="D18" s="1">
        <f>核心参数输入!$B$61</f>
        <v>33000</v>
      </c>
      <c r="G18" s="4" t="s">
        <v>340</v>
      </c>
    </row>
    <row r="19" spans="1:7" ht="30" customHeight="1">
      <c r="A19" t="s">
        <v>341</v>
      </c>
      <c r="B19" s="10">
        <f>SUM(建筑面积与开发计划!$D$21:INDEX(建筑面积与开发计划!$D$21:$AH$21,核心参数输入!$B$9+1))</f>
        <v>1</v>
      </c>
      <c r="C19" t="s">
        <v>30</v>
      </c>
      <c r="D19" s="10">
        <f>SUM(建筑面积与开发计划!$D$101:INDEX(建筑面积与开发计划!$D$101:$AH$101,核心参数输入!$B$9+1))</f>
        <v>1</v>
      </c>
      <c r="G19" s="4" t="s">
        <v>342</v>
      </c>
    </row>
    <row r="20" spans="1:7" ht="30" customHeight="1">
      <c r="A20" t="s">
        <v>343</v>
      </c>
      <c r="B20" s="1">
        <f>IF(B19&lt;0.999999,"测算期内未完成",IFERROR(MATCH(1,建筑面积与开发计划!$D$29:$AH$29,0)-1,"测算期内未完成"))</f>
        <v>6</v>
      </c>
      <c r="C20" t="s">
        <v>344</v>
      </c>
      <c r="D20" s="1">
        <f>IF(D19&lt;0.999999,"测算期内未完成",IFERROR(MATCH(1,建筑面积与开发计划!$D$109:$AH$109,0)-1,"测算期内未完成"))</f>
        <v>6</v>
      </c>
      <c r="G20" s="4" t="s">
        <v>345</v>
      </c>
    </row>
    <row r="21" spans="1:7" ht="30" customHeight="1">
      <c r="A21" t="s">
        <v>346</v>
      </c>
      <c r="B21" s="10">
        <f>IF(ISNUMBER(B28),INDEX(建筑面积与开发计划!$D$26:$AH$26,B28+1),"不适用")</f>
        <v>0.9</v>
      </c>
      <c r="C21" t="s">
        <v>30</v>
      </c>
      <c r="D21" s="10">
        <f>IF(ISNUMBER(D28),INDEX(建筑面积与开发计划!$D$106:$AH$106,D28+1),"不适用")</f>
        <v>0.8</v>
      </c>
      <c r="G21" s="4" t="s">
        <v>347</v>
      </c>
    </row>
    <row r="22" spans="1:7" ht="30" customHeight="1">
      <c r="A22" t="s">
        <v>348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30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349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30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350</v>
      </c>
    </row>
    <row r="24" spans="1:7" ht="30" customHeight="1">
      <c r="A24" t="s">
        <v>351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30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352</v>
      </c>
    </row>
    <row r="25" spans="1:7" ht="30" customHeight="1">
      <c r="A25" t="s">
        <v>353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354</v>
      </c>
    </row>
    <row r="26" spans="1:7" ht="30" customHeight="1">
      <c r="A26" t="s">
        <v>355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356</v>
      </c>
    </row>
    <row r="27" spans="1:7" ht="30" customHeight="1">
      <c r="A27" t="s">
        <v>357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358</v>
      </c>
    </row>
    <row r="28" spans="1:7" ht="30" customHeight="1">
      <c r="A28" t="s">
        <v>359</v>
      </c>
      <c r="B28" s="1">
        <f>IF(核心参数输入!$B$9&gt;=核心参数输入!$B$18+3,核心参数输入!$B$18+3,"不适用")</f>
        <v>7</v>
      </c>
      <c r="C28" t="s">
        <v>344</v>
      </c>
      <c r="D28" s="1">
        <f>IF(核心参数输入!$B$9&gt;=核心参数输入!$B$18+3,核心参数输入!$B$18+3,"不适用")</f>
        <v>7</v>
      </c>
      <c r="G28" s="4" t="s">
        <v>360</v>
      </c>
    </row>
    <row r="31" spans="1:7" ht="21" customHeight="1">
      <c r="A31" s="15" t="s">
        <v>361</v>
      </c>
      <c r="B31" s="15"/>
      <c r="C31" s="15"/>
      <c r="D31" s="15"/>
      <c r="E31" s="15"/>
      <c r="F31" s="15"/>
      <c r="G31" s="15"/>
    </row>
    <row r="33" spans="1:7" ht="21" customHeight="1">
      <c r="A33" s="5" t="s">
        <v>362</v>
      </c>
      <c r="B33" s="5" t="s">
        <v>363</v>
      </c>
      <c r="C33" s="5" t="s">
        <v>364</v>
      </c>
      <c r="D33" s="5" t="s">
        <v>365</v>
      </c>
      <c r="E33" s="5" t="s">
        <v>366</v>
      </c>
      <c r="F33" s="5" t="s">
        <v>367</v>
      </c>
    </row>
    <row r="34" spans="1:7" ht="21" customHeight="1">
      <c r="A34" t="s">
        <v>316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318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320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322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368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369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142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330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332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334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370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371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372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9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9"/>
      <c r="C5" s="19"/>
      <c r="D5" s="19"/>
      <c r="E5" s="19"/>
      <c r="F5" s="19"/>
      <c r="G5" s="19"/>
    </row>
    <row r="6" spans="1:7" ht="21" customHeight="1">
      <c r="A6" s="19"/>
      <c r="B6" s="19"/>
      <c r="C6" s="19"/>
      <c r="D6" s="19"/>
      <c r="E6" s="19"/>
      <c r="F6" s="19"/>
      <c r="G6" s="19"/>
    </row>
    <row r="8" spans="1:7" ht="21" customHeight="1">
      <c r="A8" t="s">
        <v>15</v>
      </c>
      <c r="B8" s="14" t="str">
        <f>核心参数输入!$B$7</f>
        <v>模拟产业园 · 租售结合</v>
      </c>
      <c r="C8" s="17"/>
      <c r="E8" s="18" t="s">
        <v>373</v>
      </c>
      <c r="F8" s="18"/>
      <c r="G8" s="13">
        <f>建筑面积与开发计划!$B$8</f>
        <v>135000</v>
      </c>
    </row>
    <row r="9" spans="1:7" ht="21" customHeight="1">
      <c r="A9" t="s">
        <v>374</v>
      </c>
      <c r="B9" s="17">
        <f>核心参数输入!$B$9</f>
        <v>20</v>
      </c>
      <c r="C9" s="17"/>
      <c r="E9" s="18" t="s">
        <v>375</v>
      </c>
      <c r="F9" s="18"/>
      <c r="G9" s="4" t="str">
        <f>TEXT(核心参数输入!$B$14,"0%")&amp;" / "&amp;TEXT(核心参数输入!$B$15,"0%")</f>
        <v>55% / 45%</v>
      </c>
    </row>
    <row r="10" spans="1:7" ht="21" customHeight="1">
      <c r="A10" t="s">
        <v>376</v>
      </c>
      <c r="B10" s="17">
        <f>建筑面积与开发计划!$B$7</f>
        <v>150000</v>
      </c>
      <c r="C10" s="17"/>
      <c r="E10" s="18" t="s">
        <v>377</v>
      </c>
      <c r="F10" s="18"/>
      <c r="G10" s="13">
        <f>建筑面积与开发计划!$B$10</f>
        <v>60749.999999999993</v>
      </c>
    </row>
    <row r="11" spans="1:7" ht="21" customHeight="1">
      <c r="A11" t="s">
        <v>378</v>
      </c>
      <c r="B11" s="17">
        <f>指标与情景测算!B16</f>
        <v>63310</v>
      </c>
      <c r="C11" s="17"/>
      <c r="E11" s="18" t="s">
        <v>379</v>
      </c>
      <c r="F11" s="18"/>
      <c r="G11" s="13">
        <f>核心参数输入!$B$57</f>
        <v>30000</v>
      </c>
    </row>
    <row r="12" spans="1:7" ht="21" customHeight="1">
      <c r="A12" t="s">
        <v>380</v>
      </c>
      <c r="B12" s="17">
        <f>指标与情景测算!B13</f>
        <v>32810</v>
      </c>
      <c r="C12" s="17"/>
      <c r="E12" s="18" t="s">
        <v>381</v>
      </c>
      <c r="F12" s="18"/>
      <c r="G12" s="13">
        <f>核心参数输入!$B$61</f>
        <v>33000</v>
      </c>
    </row>
    <row r="13" spans="1:7" ht="21" customHeight="1">
      <c r="A13" t="s">
        <v>382</v>
      </c>
      <c r="B13" s="17">
        <f>指标与情景测算!B14</f>
        <v>0</v>
      </c>
      <c r="C13" s="17"/>
      <c r="E13" s="18" t="s">
        <v>383</v>
      </c>
      <c r="F13" s="18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362</v>
      </c>
      <c r="B18" s="5" t="s">
        <v>384</v>
      </c>
      <c r="C18" s="5" t="s">
        <v>385</v>
      </c>
      <c r="D18" s="5" t="s">
        <v>386</v>
      </c>
      <c r="E18" s="5" t="s">
        <v>387</v>
      </c>
      <c r="F18" s="5" t="s">
        <v>367</v>
      </c>
    </row>
    <row r="19" spans="1:7" ht="21" customHeight="1">
      <c r="A19" t="s">
        <v>316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318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320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322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368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369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142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330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332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334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5" t="s">
        <v>388</v>
      </c>
      <c r="B33" s="15"/>
      <c r="C33" s="15"/>
      <c r="D33" s="15"/>
      <c r="E33" s="15"/>
      <c r="F33" s="15"/>
      <c r="G33" s="15"/>
    </row>
    <row r="34" spans="1:7" ht="21" customHeight="1">
      <c r="A34" s="5" t="s">
        <v>389</v>
      </c>
      <c r="B34" s="5" t="s">
        <v>390</v>
      </c>
      <c r="D34" s="5" t="s">
        <v>391</v>
      </c>
    </row>
    <row r="35" spans="1:7" ht="30.95" customHeight="1">
      <c r="A35" t="s">
        <v>392</v>
      </c>
      <c r="B35" s="14" t="s">
        <v>393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394</v>
      </c>
      <c r="B36" s="14" t="s">
        <v>395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396</v>
      </c>
      <c r="B37" s="14" t="s">
        <v>397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398</v>
      </c>
      <c r="B38" s="14" t="s">
        <v>399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400</v>
      </c>
      <c r="B39" s="14" t="s">
        <v>401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402</v>
      </c>
      <c r="B40" s="14" t="s">
        <v>403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404</v>
      </c>
      <c r="B41" s="14" t="s">
        <v>405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406</v>
      </c>
      <c r="B42" s="14" t="s">
        <v>407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408</v>
      </c>
      <c r="B43" s="14" t="s">
        <v>409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410</v>
      </c>
      <c r="B44" s="14" t="s">
        <v>411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412</v>
      </c>
      <c r="B45" s="14" t="s">
        <v>413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414</v>
      </c>
      <c r="B46" s="14" t="s">
        <v>415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416</v>
      </c>
      <c r="B47" s="14" t="s">
        <v>417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418</v>
      </c>
      <c r="B48" s="14" t="s">
        <v>419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420</v>
      </c>
      <c r="B49" s="14" t="s">
        <v>421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422</v>
      </c>
      <c r="B50" s="14" t="s">
        <v>423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424</v>
      </c>
      <c r="B51" s="14" t="s">
        <v>425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426</v>
      </c>
      <c r="B52" s="14" t="s">
        <v>427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428</v>
      </c>
      <c r="B53" s="14" t="s">
        <v>429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430</v>
      </c>
      <c r="B54" s="14" t="s">
        <v>431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432</v>
      </c>
      <c r="B55" s="14" t="s">
        <v>433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434</v>
      </c>
      <c r="B56" s="14" t="s">
        <v>435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436</v>
      </c>
      <c r="B57" s="14" t="s">
        <v>437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438</v>
      </c>
      <c r="B58" s="14" t="s">
        <v>439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440</v>
      </c>
      <c r="B59" s="14" t="s">
        <v>441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442</v>
      </c>
      <c r="B60" s="14" t="s">
        <v>443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444</v>
      </c>
      <c r="B61" s="14" t="s">
        <v>445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446</v>
      </c>
      <c r="B62" s="14" t="s">
        <v>447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448</v>
      </c>
      <c r="B63" s="14" t="s">
        <v>449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450</v>
      </c>
      <c r="B64" s="14" t="s">
        <v>451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5" t="s">
        <v>452</v>
      </c>
      <c r="B66" s="15"/>
      <c r="C66" s="15"/>
      <c r="D66" s="15"/>
      <c r="E66" s="15"/>
      <c r="F66" s="15"/>
      <c r="G66" s="15"/>
    </row>
    <row r="120" spans="1:8" ht="21" customHeight="1">
      <c r="A120" s="5" t="s">
        <v>453</v>
      </c>
      <c r="B120" s="5" t="s">
        <v>454</v>
      </c>
      <c r="C120" s="5" t="s">
        <v>229</v>
      </c>
      <c r="D120" s="5" t="s">
        <v>455</v>
      </c>
      <c r="E120" s="5" t="s">
        <v>456</v>
      </c>
      <c r="F120" s="5" t="s">
        <v>457</v>
      </c>
      <c r="G120" s="5" t="s">
        <v>294</v>
      </c>
      <c r="H120" s="5" t="s">
        <v>458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2026-10-11T15:19:48Z</dcterms:modified>
</cp:coreProperties>
</file>